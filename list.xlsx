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erver\mserver\Администрация\Щиты 6х3\ОТЧЕТЫ\Презентация 2026\"/>
    </mc:Choice>
  </mc:AlternateContent>
  <xr:revisionPtr revIDLastSave="0" documentId="8_{5682C1DD-28A7-455A-AF71-7DD64D0E2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DSheet" sheetId="1" r:id="rId1"/>
  </sheets>
  <definedNames>
    <definedName name="_xlnm._FilterDatabase" localSheetId="0" hidden="1">TDSheet!$A$3:$I$612</definedName>
    <definedName name="_xlnm.Print_Titles" localSheetId="0">TDSheet!1:15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18" i="1" l="1"/>
  <c r="H616" i="1" l="1"/>
  <c r="H615" i="1"/>
  <c r="H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D480" i="1"/>
  <c r="E479" i="1"/>
  <c r="D479" i="1"/>
  <c r="E478" i="1"/>
  <c r="D478" i="1"/>
  <c r="E477" i="1"/>
  <c r="D477" i="1"/>
  <c r="D476" i="1"/>
  <c r="E475" i="1"/>
  <c r="D475" i="1"/>
  <c r="E474" i="1"/>
  <c r="D474" i="1"/>
  <c r="E473" i="1"/>
  <c r="D473" i="1"/>
  <c r="E472" i="1"/>
  <c r="D472" i="1"/>
  <c r="E471" i="1"/>
  <c r="D471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E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D393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D340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E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E128" i="1"/>
  <c r="D128" i="1"/>
  <c r="E127" i="1"/>
  <c r="D127" i="1"/>
  <c r="E126" i="1"/>
  <c r="D126" i="1"/>
  <c r="E125" i="1"/>
  <c r="D125" i="1"/>
  <c r="E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E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A2" i="1"/>
</calcChain>
</file>

<file path=xl/sharedStrings.xml><?xml version="1.0" encoding="utf-8"?>
<sst xmlns="http://schemas.openxmlformats.org/spreadsheetml/2006/main" count="3371" uniqueCount="819">
  <si>
    <t>Рекламные возможности  за период с 01.01.26 по 31.01.26</t>
  </si>
  <si>
    <t>Номер</t>
  </si>
  <si>
    <t>Сторона</t>
  </si>
  <si>
    <t>Адрес</t>
  </si>
  <si>
    <t>фото</t>
  </si>
  <si>
    <t>Ссылка на карту рекламного места</t>
  </si>
  <si>
    <t>Координаты</t>
  </si>
  <si>
    <t>Тип конструкции</t>
  </si>
  <si>
    <t>Основной прайс</t>
  </si>
  <si>
    <t>Январь</t>
  </si>
  <si>
    <t>2026</t>
  </si>
  <si>
    <t>Улан-Удэ</t>
  </si>
  <si>
    <t>100</t>
  </si>
  <si>
    <t>A</t>
  </si>
  <si>
    <t>Аэропорт</t>
  </si>
  <si>
    <t>51.800737, 107.457242</t>
  </si>
  <si>
    <t>Щиты 6Х3</t>
  </si>
  <si>
    <t>B</t>
  </si>
  <si>
    <t>100-АЛ</t>
  </si>
  <si>
    <t>Ботаническая ул., (АЗС "ННК-Байкалнефтепродукт")</t>
  </si>
  <si>
    <t>51.842179, 107.640463</t>
  </si>
  <si>
    <t>100-АМ</t>
  </si>
  <si>
    <t>A1</t>
  </si>
  <si>
    <t>улица Сахьяновой, 7Б/3</t>
  </si>
  <si>
    <t>51.808778, 107.620667</t>
  </si>
  <si>
    <t>Призматроны 12х3</t>
  </si>
  <si>
    <t>Продано</t>
  </si>
  <si>
    <t>A2</t>
  </si>
  <si>
    <t>A3</t>
  </si>
  <si>
    <t>103</t>
  </si>
  <si>
    <t>улица Балтахинова, 5</t>
  </si>
  <si>
    <t>51.823129, 107.591824</t>
  </si>
  <si>
    <t>104</t>
  </si>
  <si>
    <t>Дорожная улица, 18</t>
  </si>
  <si>
    <t>51.839208, 107.518431</t>
  </si>
  <si>
    <t>105</t>
  </si>
  <si>
    <t>улица Борсоева, 1А</t>
  </si>
  <si>
    <t>51.827097,107.59911</t>
  </si>
  <si>
    <t>106</t>
  </si>
  <si>
    <t>улица Борсоева, 1</t>
  </si>
  <si>
    <t>51.828215,107.596679</t>
  </si>
  <si>
    <t>107</t>
  </si>
  <si>
    <t>Дорожная улица, 42Б</t>
  </si>
  <si>
    <t>51.835511, 107.513239</t>
  </si>
  <si>
    <t>108</t>
  </si>
  <si>
    <t>улица Борсоева, 2</t>
  </si>
  <si>
    <t>51.828633, 107.596545</t>
  </si>
  <si>
    <t>19-19/Продано</t>
  </si>
  <si>
    <t>109</t>
  </si>
  <si>
    <t>улица Борсоева, 5</t>
  </si>
  <si>
    <t>51.82926,107.595907</t>
  </si>
  <si>
    <t>Призматроны 6Х3</t>
  </si>
  <si>
    <t>109-АМ</t>
  </si>
  <si>
    <t>Магистральная улица, 1, Нижняя Иволга</t>
  </si>
  <si>
    <t>51.764083, 107.450861</t>
  </si>
  <si>
    <t>10-АЛ</t>
  </si>
  <si>
    <t>улица Ербанова, 22</t>
  </si>
  <si>
    <t>51.834129,107.589143</t>
  </si>
  <si>
    <t>10-Д</t>
  </si>
  <si>
    <t>улица Борсоева, 17 А</t>
  </si>
  <si>
    <t>51.839273,107.581559</t>
  </si>
  <si>
    <t>улица Борсоева, 17А</t>
  </si>
  <si>
    <t>11</t>
  </si>
  <si>
    <t>улица Терешковой, 2</t>
  </si>
  <si>
    <t>51.80925,107.600167</t>
  </si>
  <si>
    <t>110</t>
  </si>
  <si>
    <t>улица Борсоева, 11А</t>
  </si>
  <si>
    <t>51.835406,107.588904</t>
  </si>
  <si>
    <t>110-АЛ</t>
  </si>
  <si>
    <t>проспект Автомобилистов, 21А</t>
  </si>
  <si>
    <t>51.841175, 107.650289</t>
  </si>
  <si>
    <t>111</t>
  </si>
  <si>
    <t>улица Борсоева, 13/2</t>
  </si>
  <si>
    <t>51.833175, 107.590924</t>
  </si>
  <si>
    <t>19-27/Продано</t>
  </si>
  <si>
    <t>111-АМ</t>
  </si>
  <si>
    <t>Орбитальная улица, 39</t>
  </si>
  <si>
    <t>51.844417, 107.650056</t>
  </si>
  <si>
    <t>призматрон 1,5*12</t>
  </si>
  <si>
    <t>112</t>
  </si>
  <si>
    <t>51.838467, 107.582871</t>
  </si>
  <si>
    <t>112-АМ</t>
  </si>
  <si>
    <t>Щит 12*1,5</t>
  </si>
  <si>
    <t>113</t>
  </si>
  <si>
    <t>Борсоева (магазин "Абсолют")</t>
  </si>
  <si>
    <t>51.839776,107.5808</t>
  </si>
  <si>
    <t>1-1/Продано</t>
  </si>
  <si>
    <t>114</t>
  </si>
  <si>
    <t>Борсоева</t>
  </si>
  <si>
    <t>51.840294, 107.579921</t>
  </si>
  <si>
    <t>1-11/Продано</t>
  </si>
  <si>
    <t>Борсоева</t>
  </si>
  <si>
    <t>114-АМ</t>
  </si>
  <si>
    <t>ул.Кабанская</t>
  </si>
  <si>
    <t>51.846556,107.5135</t>
  </si>
  <si>
    <t>115</t>
  </si>
  <si>
    <t>пр. Победы</t>
  </si>
  <si>
    <t>51.825089,107.593379</t>
  </si>
  <si>
    <t>115-АМ</t>
  </si>
  <si>
    <t>пр-т Автомобилистов</t>
  </si>
  <si>
    <t>51.835833, 107.654361</t>
  </si>
  <si>
    <t>22-31/Продано</t>
  </si>
  <si>
    <t>116</t>
  </si>
  <si>
    <t>51.843418, 107.573247</t>
  </si>
  <si>
    <t>117</t>
  </si>
  <si>
    <t>ул. Борсоева, 89 (ОАО "НАРАН")</t>
  </si>
  <si>
    <t>51.845597, 107.568494</t>
  </si>
  <si>
    <t>1-1/Продано, 13-31/Продано</t>
  </si>
  <si>
    <t>117-АМ</t>
  </si>
  <si>
    <t>ул.Трубачеева</t>
  </si>
  <si>
    <t>51.815639, 107.612028</t>
  </si>
  <si>
    <t>118-АМ</t>
  </si>
  <si>
    <t>ул.Лимонова</t>
  </si>
  <si>
    <t>51.841806, 107.621639</t>
  </si>
  <si>
    <t>119-АМ</t>
  </si>
  <si>
    <t>ул.Ботаническая</t>
  </si>
  <si>
    <t>51.842111, 107.640639</t>
  </si>
  <si>
    <t>11-АЛ</t>
  </si>
  <si>
    <t>Ербанова ул., д. 13 / Борсоева ул. ("Дом быта")</t>
  </si>
  <si>
    <t>51.834341, 107.588782</t>
  </si>
  <si>
    <t>12</t>
  </si>
  <si>
    <t>51.808944,107.60025</t>
  </si>
  <si>
    <t>Ул.Терешковой</t>
  </si>
  <si>
    <t>120-АЛ</t>
  </si>
  <si>
    <t>пр-т Строителей/Жердева ул.</t>
  </si>
  <si>
    <t>51.81356,107.65596</t>
  </si>
  <si>
    <t>19-23/Продано</t>
  </si>
  <si>
    <t>120-АМ</t>
  </si>
  <si>
    <t>пр-т Строителей</t>
  </si>
  <si>
    <t>51.814083, 107.657389</t>
  </si>
  <si>
    <t>121</t>
  </si>
  <si>
    <t>ул. Иволгинская (через дорогу Иволгинская 14А,к1)</t>
  </si>
  <si>
    <t>51.841625, 107.543709</t>
  </si>
  <si>
    <t>121-АМ</t>
  </si>
  <si>
    <t>ул.Бабушкина</t>
  </si>
  <si>
    <t>51.783943,107.58635</t>
  </si>
  <si>
    <t>122</t>
  </si>
  <si>
    <t>ул. Иволгинская (около 44 школы)</t>
  </si>
  <si>
    <t>51.841798, 107.545557</t>
  </si>
  <si>
    <t>123</t>
  </si>
  <si>
    <t>51.841592, 107.545523</t>
  </si>
  <si>
    <t>123-АМ</t>
  </si>
  <si>
    <t>ул.Мокрова</t>
  </si>
  <si>
    <t>51.804986, 107.648602</t>
  </si>
  <si>
    <t>124</t>
  </si>
  <si>
    <t>Иволгинская</t>
  </si>
  <si>
    <t>51.842336, 107.530357</t>
  </si>
  <si>
    <t>Иволгинская (пересечение с ул. Строителей) поз.1</t>
  </si>
  <si>
    <t>124-АМ</t>
  </si>
  <si>
    <t>51.806472, 107.601889</t>
  </si>
  <si>
    <t>125</t>
  </si>
  <si>
    <t>Иволгинская (пересечение с ул. Строителей) поз.2</t>
  </si>
  <si>
    <t>51.841023,107.522352</t>
  </si>
  <si>
    <t>51.839611, 107.519698</t>
  </si>
  <si>
    <t>125-АМ</t>
  </si>
  <si>
    <t>ул.Жердева</t>
  </si>
  <si>
    <t>51.811056, 107.659639</t>
  </si>
  <si>
    <t>126</t>
  </si>
  <si>
    <t>Дорожная (остановка ВАИ)</t>
  </si>
  <si>
    <t>51.835306, 107.513261</t>
  </si>
  <si>
    <t>126-АМ</t>
  </si>
  <si>
    <t>51.815528, 107.630472</t>
  </si>
  <si>
    <t>127</t>
  </si>
  <si>
    <t>Ул. Коммунистическая, 38</t>
  </si>
  <si>
    <t>51.830708,107.587665</t>
  </si>
  <si>
    <t>B1</t>
  </si>
  <si>
    <t>B2</t>
  </si>
  <si>
    <t>B3</t>
  </si>
  <si>
    <t>128</t>
  </si>
  <si>
    <t>ул. Кабанская</t>
  </si>
  <si>
    <t>51.851903, 107.506324</t>
  </si>
  <si>
    <t>129</t>
  </si>
  <si>
    <t>ул. Покровская,вблизи д.38, Р-258</t>
  </si>
  <si>
    <t>51.806758, 107.494204</t>
  </si>
  <si>
    <t>12-АЛ</t>
  </si>
  <si>
    <t>Бабушкина ул. ("Республиканский Бизнес-Инкубатор")</t>
  </si>
  <si>
    <t>51.813475, 107.595101</t>
  </si>
  <si>
    <t>130-АЛ</t>
  </si>
  <si>
    <t>Тобольская ул./Краснофлотская ул., (вблизи ТРЦ "Пиплз Парк")</t>
  </si>
  <si>
    <t>51.814603, 107.665835</t>
  </si>
  <si>
    <t>135</t>
  </si>
  <si>
    <t>ул. Смолина (БГУ)</t>
  </si>
  <si>
    <t>51.832115, 107.580262</t>
  </si>
  <si>
    <t>136</t>
  </si>
  <si>
    <t>ул. Смолина,24 А (БГУ)</t>
  </si>
  <si>
    <t>13-АЛ</t>
  </si>
  <si>
    <t>Бабушкина ул./Трубачеева ул. (АЗС "ННК-Байкалнефтепродукт")</t>
  </si>
  <si>
    <t>51.813448,107.595624</t>
  </si>
  <si>
    <t>140-АЛ</t>
  </si>
  <si>
    <t>пр-т Автомобилистов/ Блинова ул.(р-н "Стрелка")</t>
  </si>
  <si>
    <t>51.844433,107.65059</t>
  </si>
  <si>
    <t>Щиты 12Х3</t>
  </si>
  <si>
    <t>147-АЛ</t>
  </si>
  <si>
    <t>Революции 1905 г. ул. / 50-Летия Октября пр-т (в сторону Читинского переезда)</t>
  </si>
  <si>
    <t>51.835331, 107.592151</t>
  </si>
  <si>
    <t>14-АЛ</t>
  </si>
  <si>
    <t>Борсоева ул. / Смолина ул. (Банк " Авангард")</t>
  </si>
  <si>
    <t>51.841278,107.576701</t>
  </si>
  <si>
    <t>14-Д</t>
  </si>
  <si>
    <t>Магистральная 11, АЗС Роснефть, Восточный въезд в город</t>
  </si>
  <si>
    <t>51.875495, 107.748175</t>
  </si>
  <si>
    <t>150-АЛ</t>
  </si>
  <si>
    <t>Иволгинская ул., (въезд на мост "Бегущая лань")</t>
  </si>
  <si>
    <t>51.841726, 107.542677</t>
  </si>
  <si>
    <t>15-Д</t>
  </si>
  <si>
    <t>п. Верхняя Березовка, 22, республиканский ипподром</t>
  </si>
  <si>
    <t>51.866832, 107.656944</t>
  </si>
  <si>
    <t>16</t>
  </si>
  <si>
    <t>ул. Ключевская</t>
  </si>
  <si>
    <t>51.821816,107.639539</t>
  </si>
  <si>
    <t>160-АЛ</t>
  </si>
  <si>
    <t>Трубачеева ул., д.140 (Бурятский Аграрный колледж им. М.Н. Ербанова</t>
  </si>
  <si>
    <t>51.815535,107.612583</t>
  </si>
  <si>
    <t>16-АЛ</t>
  </si>
  <si>
    <t>Куйбышева ул., (ООТ "Центральный парк")</t>
  </si>
  <si>
    <t>51.825582,107.598616</t>
  </si>
  <si>
    <t>16-Д</t>
  </si>
  <si>
    <t xml:space="preserve"> Сотниково</t>
  </si>
  <si>
    <t>51.862047, 107.501711</t>
  </si>
  <si>
    <t>17</t>
  </si>
  <si>
    <t>Зеленоградская</t>
  </si>
  <si>
    <t>51.848056, 107.678222</t>
  </si>
  <si>
    <t>170-АЛ</t>
  </si>
  <si>
    <t>Трубачеева ул., 61А, ТЦ "Уют"</t>
  </si>
  <si>
    <t>51.816327,107.614407</t>
  </si>
  <si>
    <t>18</t>
  </si>
  <si>
    <t>51.848129,107.678083</t>
  </si>
  <si>
    <t>180-АЛ</t>
  </si>
  <si>
    <t>Борсоева ул./Смолина ул. (АЗС "БРК")</t>
  </si>
  <si>
    <t>51.841494,107.576937</t>
  </si>
  <si>
    <t>190-АЛ</t>
  </si>
  <si>
    <t>Сахьяновой ул., д.9 (рынок " Фабричный")</t>
  </si>
  <si>
    <t>51.810003,107.621347</t>
  </si>
  <si>
    <t>1-АЛ</t>
  </si>
  <si>
    <t>Ботаническая ул., д. 3а, (Банк "ВТБ")</t>
  </si>
  <si>
    <t>51.84231,107.640377</t>
  </si>
  <si>
    <t>200-АЛ</t>
  </si>
  <si>
    <t>Иволгинская ул., (въезд на Селенгинский мост )</t>
  </si>
  <si>
    <t>51.844876,107.560294</t>
  </si>
  <si>
    <t>201</t>
  </si>
  <si>
    <t>ул. Бабушкина, д.122</t>
  </si>
  <si>
    <t>51.811627, 107.595562</t>
  </si>
  <si>
    <t>202</t>
  </si>
  <si>
    <t>Бабушкина,ул,д.29</t>
  </si>
  <si>
    <t>51.803299, 107.604781</t>
  </si>
  <si>
    <t>203</t>
  </si>
  <si>
    <t>Бабушкина,ул (104квартал)</t>
  </si>
  <si>
    <t>51.786827, 107.590823</t>
  </si>
  <si>
    <t>203А</t>
  </si>
  <si>
    <t>ул. Бабушкина</t>
  </si>
  <si>
    <t>204</t>
  </si>
  <si>
    <t>Бабушкина,189(вблизи Ниссан)</t>
  </si>
  <si>
    <t>51.788587,107.594503</t>
  </si>
  <si>
    <t>205</t>
  </si>
  <si>
    <t>51.814444,107.595264</t>
  </si>
  <si>
    <t>206</t>
  </si>
  <si>
    <t>Бабушкина (магазин "100 мелочей"), тривижн</t>
  </si>
  <si>
    <t>51.815303, 107.595007</t>
  </si>
  <si>
    <t>207</t>
  </si>
  <si>
    <t>Бабушкина (въезд на Удинский мост, напротив ДЮТ) поз.1</t>
  </si>
  <si>
    <t>51.817005,107.594183</t>
  </si>
  <si>
    <t>1-7/Продано</t>
  </si>
  <si>
    <t>1-19/Продано</t>
  </si>
  <si>
    <t>208</t>
  </si>
  <si>
    <t>Бабушкина (съезд с Удинского моста, напротив ТЦ "Колорит") поз.2</t>
  </si>
  <si>
    <t>51.816906,107.593748</t>
  </si>
  <si>
    <t>209</t>
  </si>
  <si>
    <t>Бабушкина (въезд на Удинский мост, напротив ДЮТ) поз.3</t>
  </si>
  <si>
    <t>51.818438,107.593492</t>
  </si>
  <si>
    <t>210</t>
  </si>
  <si>
    <t>Бабушкина (съезд с Удинского моста, напротив ТЦ "Колорит") поз.1</t>
  </si>
  <si>
    <t>51.818399,107.593052</t>
  </si>
  <si>
    <t>211</t>
  </si>
  <si>
    <t>Боевая (остановка "Химчистка")</t>
  </si>
  <si>
    <t>51.806487,107.630809</t>
  </si>
  <si>
    <t>212</t>
  </si>
  <si>
    <t>ул. Боевая, д.6</t>
  </si>
  <si>
    <t>51.805782, 107.634253</t>
  </si>
  <si>
    <t>213</t>
  </si>
  <si>
    <t>ул. Боевая, д.12</t>
  </si>
  <si>
    <t>51.80516,107.640803</t>
  </si>
  <si>
    <t>214</t>
  </si>
  <si>
    <t>Боевая (пересечение с пр.Строителей, ОАО "Молоко")</t>
  </si>
  <si>
    <t>51.805445,107.640597</t>
  </si>
  <si>
    <t>215</t>
  </si>
  <si>
    <t>Боевая (пересечение с пр.Строителей)</t>
  </si>
  <si>
    <t>51.805227, 107.642718</t>
  </si>
  <si>
    <t>Боевая улица, 16/1</t>
  </si>
  <si>
    <t>216</t>
  </si>
  <si>
    <t>улица Калашникова, 10</t>
  </si>
  <si>
    <t>51.805664, 107.654383</t>
  </si>
  <si>
    <t>Жердева (пересечение с ул.Калашникова)</t>
  </si>
  <si>
    <t>C</t>
  </si>
  <si>
    <t>217</t>
  </si>
  <si>
    <t>Жердева (43-44 кварталы)</t>
  </si>
  <si>
    <t>51.810393, 107.655966</t>
  </si>
  <si>
    <t>218</t>
  </si>
  <si>
    <t>Жердева (угол парка отдыха, 43-44 кварталы)</t>
  </si>
  <si>
    <t>51.810847, 107.658074</t>
  </si>
  <si>
    <t>219</t>
  </si>
  <si>
    <t>ул. Ключевская, д.42А</t>
  </si>
  <si>
    <t>51.821491, 107.634900</t>
  </si>
  <si>
    <t>21-Д</t>
  </si>
  <si>
    <t>ул. Борсоева 77, направление в центр города</t>
  </si>
  <si>
    <t>51.845315, 107.569824</t>
  </si>
  <si>
    <t>220</t>
  </si>
  <si>
    <t>Ключевская (18 квартал, магазин "Мебельный")</t>
  </si>
  <si>
    <t>51.821712, 107.634938</t>
  </si>
  <si>
    <t>221</t>
  </si>
  <si>
    <t>51.821781, 107.637306</t>
  </si>
  <si>
    <t>222</t>
  </si>
  <si>
    <t>ул. Ключевская, д.72Б</t>
  </si>
  <si>
    <t>51.821621, 107.646480</t>
  </si>
  <si>
    <t>223</t>
  </si>
  <si>
    <t>Ключевская (напротив магазина "Товары Бурятии")</t>
  </si>
  <si>
    <t>51.821648, 107.650750</t>
  </si>
  <si>
    <t>224</t>
  </si>
  <si>
    <t>51.821155, 107.662319</t>
  </si>
  <si>
    <t>225</t>
  </si>
  <si>
    <t>Ключевская (перес. Ул.Лебедева, поворот на пос.Мясокомбината)</t>
  </si>
  <si>
    <t>51.822059, 107.651130</t>
  </si>
  <si>
    <t>226</t>
  </si>
  <si>
    <t>Ключевская (пересечение с ул.Лебедева, ОАО "Улан-Удэ Лада")</t>
  </si>
  <si>
    <t>51.822173, 107.650404</t>
  </si>
  <si>
    <t>227</t>
  </si>
  <si>
    <t>ул. Мокрова, д. 28А</t>
  </si>
  <si>
    <t>51.804802, 107.654019</t>
  </si>
  <si>
    <t>228</t>
  </si>
  <si>
    <t>ул. Мокрова</t>
  </si>
  <si>
    <t>51.805103, 107.646983</t>
  </si>
  <si>
    <t>229</t>
  </si>
  <si>
    <t>ул. Пищевая, д. 3</t>
  </si>
  <si>
    <t>51.818224, 107.684731</t>
  </si>
  <si>
    <t>22-Д</t>
  </si>
  <si>
    <t>Прибайкальский район, дорога на Байкал, км 114+800,  местность Хаим</t>
  </si>
  <si>
    <t>52.604979, 108.091895</t>
  </si>
  <si>
    <t>230</t>
  </si>
  <si>
    <t>ул. Пищевая, д. 8</t>
  </si>
  <si>
    <t>51.818186, 107.684680</t>
  </si>
  <si>
    <t>231</t>
  </si>
  <si>
    <t>пр. Строителей, д.18</t>
  </si>
  <si>
    <t>51.808456, 107.645419</t>
  </si>
  <si>
    <t>232</t>
  </si>
  <si>
    <t>Строителей( ГУП КСК)</t>
  </si>
  <si>
    <t>51.811824, 107.653033</t>
  </si>
  <si>
    <t>233</t>
  </si>
  <si>
    <t>Терешковой (пересечение с ул. Геологическая)</t>
  </si>
  <si>
    <t>51.809370, 107.599300</t>
  </si>
  <si>
    <t>234</t>
  </si>
  <si>
    <t>ул. Терешковой, д.2</t>
  </si>
  <si>
    <t>51.808914, 107.601814</t>
  </si>
  <si>
    <t>1-10/Продано</t>
  </si>
  <si>
    <t>235</t>
  </si>
  <si>
    <t>51.809206, 107.601857</t>
  </si>
  <si>
    <t>236</t>
  </si>
  <si>
    <t>ул. Терешковой, д.3Б</t>
  </si>
  <si>
    <t>51.808927, 107.604249</t>
  </si>
  <si>
    <t>237</t>
  </si>
  <si>
    <t>Терешковой (напротив Сбербанка)</t>
  </si>
  <si>
    <t>51.808935, 107.605613</t>
  </si>
  <si>
    <t>238</t>
  </si>
  <si>
    <t>Терешковой (остановка "Саяны")</t>
  </si>
  <si>
    <t>51.808912, 107.607727</t>
  </si>
  <si>
    <t>239</t>
  </si>
  <si>
    <t>Терешковой (пересечение с б-м К.Маркса, ресторан "Саяны")</t>
  </si>
  <si>
    <t>51.809193, 107.608042</t>
  </si>
  <si>
    <t>240</t>
  </si>
  <si>
    <t>Терешковой (пересечение с б-м К.Маркса, остановка "Саяны")</t>
  </si>
  <si>
    <t>51.808948, 107.608103</t>
  </si>
  <si>
    <t>241</t>
  </si>
  <si>
    <t>Терешковой (напротив Администрации Октябрьского района)</t>
  </si>
  <si>
    <t>51.808928, 107.611178</t>
  </si>
  <si>
    <t>242</t>
  </si>
  <si>
    <t>Терешковой (магазин "Улыбка")</t>
  </si>
  <si>
    <t>51.809187, 107.611362</t>
  </si>
  <si>
    <t>243</t>
  </si>
  <si>
    <t>Терешковой (магазин "Либерти"),  тривижн</t>
  </si>
  <si>
    <t>51.809181, 107.609937</t>
  </si>
  <si>
    <t>244</t>
  </si>
  <si>
    <t>Жердева ул (вблизи м-н Выстрел)</t>
  </si>
  <si>
    <t>51.815351, 107.628593</t>
  </si>
  <si>
    <t>245</t>
  </si>
  <si>
    <t>Жердева ул.</t>
  </si>
  <si>
    <t>51.816335, 107.634097</t>
  </si>
  <si>
    <t>246</t>
  </si>
  <si>
    <t>ул. Терешковой, д.36</t>
  </si>
  <si>
    <t>51.809191, 107.614886</t>
  </si>
  <si>
    <t>247</t>
  </si>
  <si>
    <t>ул. Терешковой, д.13</t>
  </si>
  <si>
    <t>51.808975, 107.614988</t>
  </si>
  <si>
    <t>248</t>
  </si>
  <si>
    <t>Терешковой (пересечение с ул.Спартака)</t>
  </si>
  <si>
    <t>51.808968, 107.616393</t>
  </si>
  <si>
    <t>249</t>
  </si>
  <si>
    <t>ул. Трубачеева</t>
  </si>
  <si>
    <t>51.819833, 107.623923</t>
  </si>
  <si>
    <t>250</t>
  </si>
  <si>
    <t>ул. Трубачеева, д. 122</t>
  </si>
  <si>
    <t>51.814853, 107.610185</t>
  </si>
  <si>
    <t>251</t>
  </si>
  <si>
    <t>51.813982, 107.603924</t>
  </si>
  <si>
    <t>253</t>
  </si>
  <si>
    <t>Тулаева (конечная трамвая автобусов)</t>
  </si>
  <si>
    <t>51.822601, 107.679566</t>
  </si>
  <si>
    <t>19-20/Продано</t>
  </si>
  <si>
    <t>254</t>
  </si>
  <si>
    <t>Шумяцкого (пересечение Жердева)</t>
  </si>
  <si>
    <t>51.812318, 107.667197</t>
  </si>
  <si>
    <t>255</t>
  </si>
  <si>
    <t>Шумяцкого (пересечение Жердева, 42 квартал)</t>
  </si>
  <si>
    <t>51.813641, 107.675055</t>
  </si>
  <si>
    <t>256</t>
  </si>
  <si>
    <t>Шумяцкого (супермаркет "Заудинский мелькомбинат", 42 квартал)</t>
  </si>
  <si>
    <t>51.812946, 107.671210</t>
  </si>
  <si>
    <t>257</t>
  </si>
  <si>
    <t>Шумяцкого (напротив ТЦ "Акбэс")</t>
  </si>
  <si>
    <t>51.813255, 107.672406</t>
  </si>
  <si>
    <t>258</t>
  </si>
  <si>
    <t>пр. Строителей,10</t>
  </si>
  <si>
    <t>51.806475, 107.643138</t>
  </si>
  <si>
    <t>259</t>
  </si>
  <si>
    <t>пр. Строителей,2А (вблизи ДРКБ)</t>
  </si>
  <si>
    <t>51.810451, 107.650763</t>
  </si>
  <si>
    <t>260</t>
  </si>
  <si>
    <t>ул. Калашникова (ост. БСМП)</t>
  </si>
  <si>
    <t>51.808116,107.646482</t>
  </si>
  <si>
    <t>261</t>
  </si>
  <si>
    <t>ул. Ключевская,д.43</t>
  </si>
  <si>
    <t>51.821925, 107.648260</t>
  </si>
  <si>
    <t>262</t>
  </si>
  <si>
    <t>ул. Трубачеева, через дорогу от зд.№156</t>
  </si>
  <si>
    <t>51.815244, 107.611003</t>
  </si>
  <si>
    <t>263</t>
  </si>
  <si>
    <t>ул. Терешковой (д.с Теремок)</t>
  </si>
  <si>
    <t>51.809199, 107.606099</t>
  </si>
  <si>
    <t>264</t>
  </si>
  <si>
    <t>ул. Терешковой,д34А</t>
  </si>
  <si>
    <t>51.809223, 107.613131</t>
  </si>
  <si>
    <t>265</t>
  </si>
  <si>
    <t>Мухоршибирский тракт, вблизи 110квартала</t>
  </si>
  <si>
    <t>51.774251, 107.562554</t>
  </si>
  <si>
    <t>266</t>
  </si>
  <si>
    <t>Шумяцкого,вблизи д.2</t>
  </si>
  <si>
    <t>51.812159, 107.666760</t>
  </si>
  <si>
    <t>267</t>
  </si>
  <si>
    <t>Заиграевский тракт, позиция №3</t>
  </si>
  <si>
    <t>51.855977, 107.843482</t>
  </si>
  <si>
    <t>269</t>
  </si>
  <si>
    <t>ул. Ключевская, вблизи зд.33</t>
  </si>
  <si>
    <t>51.821873, 107.641455</t>
  </si>
  <si>
    <t>26-Д</t>
  </si>
  <si>
    <t>Ул. Бабушкина, 198, Ниссан и Рено центр, 100-ые кварталы</t>
  </si>
  <si>
    <t>51.806651, 107.601507</t>
  </si>
  <si>
    <t>270</t>
  </si>
  <si>
    <t>ул. Ключевская, вблизи ул. Тулаева, 112а</t>
  </si>
  <si>
    <t>51.823794, 107.673860</t>
  </si>
  <si>
    <t>271</t>
  </si>
  <si>
    <t>ул. Кольцова, вблизи д.9А</t>
  </si>
  <si>
    <t>51.818909, 107.681675</t>
  </si>
  <si>
    <t>272</t>
  </si>
  <si>
    <t>пр. Строителей,64</t>
  </si>
  <si>
    <t>51.814636, 107.648543</t>
  </si>
  <si>
    <t>273</t>
  </si>
  <si>
    <t>ул. Шумяцкого, вблизи д.104В</t>
  </si>
  <si>
    <t>51.811352, 107.661118</t>
  </si>
  <si>
    <t>274</t>
  </si>
  <si>
    <t>ул.Жердева, вблизи зд.18к3</t>
  </si>
  <si>
    <t>51.814649, 107.650458</t>
  </si>
  <si>
    <t>275</t>
  </si>
  <si>
    <t>пр. Строителей, вблизи д.62</t>
  </si>
  <si>
    <t>51.814202, 107.647646</t>
  </si>
  <si>
    <t>277</t>
  </si>
  <si>
    <t>140а квартал, вблизи ост. "Тепловая"</t>
  </si>
  <si>
    <t>51.802682, 107.667966</t>
  </si>
  <si>
    <t>27-Д</t>
  </si>
  <si>
    <t>ул. Ключевская, 41. Рынок Туяа</t>
  </si>
  <si>
    <t>51.821745, 107.650636</t>
  </si>
  <si>
    <t>280</t>
  </si>
  <si>
    <t>Ключевская,д.144/1</t>
  </si>
  <si>
    <t>281</t>
  </si>
  <si>
    <t>140 А квартал, вблизи остановки "Тепловая"</t>
  </si>
  <si>
    <t>28-Д</t>
  </si>
  <si>
    <t>ул.Мокрова д.28</t>
  </si>
  <si>
    <t>51.804925, 107.652172</t>
  </si>
  <si>
    <t>301</t>
  </si>
  <si>
    <t>пр Автомобилистов вблизи здания16 к1</t>
  </si>
  <si>
    <t>51.839227, 107.652823</t>
  </si>
  <si>
    <t>302</t>
  </si>
  <si>
    <t>пр. Автомобилистов (у АЗС "Ариг Ус")</t>
  </si>
  <si>
    <t>51.842101, 107.650955</t>
  </si>
  <si>
    <t>303</t>
  </si>
  <si>
    <t>303,А, пр. Автомобилистов (АЗС "ПАП-1")</t>
  </si>
  <si>
    <t>51.832839, 107.655280</t>
  </si>
  <si>
    <t>пр. Автомобилистов (АЗС "ПАП-1")</t>
  </si>
  <si>
    <t>304</t>
  </si>
  <si>
    <t>51.866909, 107.657081</t>
  </si>
  <si>
    <t>305</t>
  </si>
  <si>
    <t>пр.Автомобилистов (ТЦ "База")</t>
  </si>
  <si>
    <t>51.832201, 107.655935</t>
  </si>
  <si>
    <t>306</t>
  </si>
  <si>
    <t>пр. Автомобилистов</t>
  </si>
  <si>
    <t>51.826897, 107.658246</t>
  </si>
  <si>
    <t>307</t>
  </si>
  <si>
    <t>пр. Автомобилистов, д.3</t>
  </si>
  <si>
    <t>51.838294, 107.652715</t>
  </si>
  <si>
    <t>308</t>
  </si>
  <si>
    <t>пр. Автомобилистов, д.14</t>
  </si>
  <si>
    <t>51.839038, 107.652930</t>
  </si>
  <si>
    <t>308В</t>
  </si>
  <si>
    <t>309</t>
  </si>
  <si>
    <t>пр. Автомобилистов, д. 4Б</t>
  </si>
  <si>
    <t>51.832108, 107.656044</t>
  </si>
  <si>
    <t>310</t>
  </si>
  <si>
    <t>ул. Ботаническая/пр. Автомобилистов</t>
  </si>
  <si>
    <t>51.840941, 107.651289</t>
  </si>
  <si>
    <t>311</t>
  </si>
  <si>
    <t>ул. Ботаническая, д.1</t>
  </si>
  <si>
    <t>51.841794, 107.627350</t>
  </si>
  <si>
    <t>312</t>
  </si>
  <si>
    <t>ул. Ботаническая, д.7А</t>
  </si>
  <si>
    <t>51.842249, 107.635662</t>
  </si>
  <si>
    <t>313</t>
  </si>
  <si>
    <t>ул. Ботаническая</t>
  </si>
  <si>
    <t>51.842397, 107.643775</t>
  </si>
  <si>
    <t>314</t>
  </si>
  <si>
    <t>51.841911, 107.646093</t>
  </si>
  <si>
    <t>315</t>
  </si>
  <si>
    <t>Гагарина, 79</t>
  </si>
  <si>
    <t>51.851345, 107.574330</t>
  </si>
  <si>
    <t>316</t>
  </si>
  <si>
    <t>ул. Гагарина, д.20</t>
  </si>
  <si>
    <t>51.839672, 107.593461</t>
  </si>
  <si>
    <t>317</t>
  </si>
  <si>
    <t>Лимонова  ТЦ Титан</t>
  </si>
  <si>
    <t>51.842103, 107.633521</t>
  </si>
  <si>
    <t>318</t>
  </si>
  <si>
    <t>Лимонова (банк "Сибирское ОВК") поз.2</t>
  </si>
  <si>
    <t>51.842034, 107.632186</t>
  </si>
  <si>
    <t>319A</t>
  </si>
  <si>
    <t>Ботаническая</t>
  </si>
  <si>
    <t>51.841953, 107.630625</t>
  </si>
  <si>
    <t>319В</t>
  </si>
  <si>
    <t>320</t>
  </si>
  <si>
    <t>Лимонова (банк "Сибирское ОВК")</t>
  </si>
  <si>
    <t>321</t>
  </si>
  <si>
    <t>Лимонова (пересечение с пр.Автомобилистов)</t>
  </si>
  <si>
    <t>51.841579, 107.649583</t>
  </si>
  <si>
    <t>322</t>
  </si>
  <si>
    <t>ул. Лимонова, д.14А</t>
  </si>
  <si>
    <t>51.841798, 107.620335</t>
  </si>
  <si>
    <t>323</t>
  </si>
  <si>
    <t>Маяковского (пересечение с ул. Рылеева, стадион 25-летия Октября)</t>
  </si>
  <si>
    <t>51.844170, 107.604477</t>
  </si>
  <si>
    <t>324</t>
  </si>
  <si>
    <t>Н.Петрова (пересечение с Баргузинским трактом, р-н Стрелка)</t>
  </si>
  <si>
    <t>51.843802, 107.647543</t>
  </si>
  <si>
    <t>325</t>
  </si>
  <si>
    <t>ул. Николая Петрова, д.1</t>
  </si>
  <si>
    <t>51.843981, 107.634548</t>
  </si>
  <si>
    <t>326</t>
  </si>
  <si>
    <t>Октябрьская (пересечение с ул.Комсомольская)</t>
  </si>
  <si>
    <t>51.843139, 107.628894</t>
  </si>
  <si>
    <t>327</t>
  </si>
  <si>
    <t>Н. Петрова, вблизи Октябрьская,39</t>
  </si>
  <si>
    <t>51.843694, 107.632439</t>
  </si>
  <si>
    <t>328</t>
  </si>
  <si>
    <t>ул. Революции 1905 года</t>
  </si>
  <si>
    <t>51.836889, 107.590694</t>
  </si>
  <si>
    <t>329</t>
  </si>
  <si>
    <t>пр. 50-летия Октября (за зданием "Бурятэнерго")</t>
  </si>
  <si>
    <t>51.840074, 107.601512</t>
  </si>
  <si>
    <t>330</t>
  </si>
  <si>
    <t>пр.50-летия Октября (пересечение с ул.Таймырская)</t>
  </si>
  <si>
    <t>51.840148, 107.601034</t>
  </si>
  <si>
    <t>331</t>
  </si>
  <si>
    <t>пр.50-летия Октября (пересечение с ул.Цивилева, магазин "Сапфир"</t>
  </si>
  <si>
    <t>51.836462, 107.594260</t>
  </si>
  <si>
    <t>332</t>
  </si>
  <si>
    <t>пр.50-летия Октября (остановка "к/т Октябрь")</t>
  </si>
  <si>
    <t>51.841398, 107.604797</t>
  </si>
  <si>
    <t>333</t>
  </si>
  <si>
    <t>пр.50-летия Октября (проходная ЛВРЗ)</t>
  </si>
  <si>
    <t>51.841704, 107.611734</t>
  </si>
  <si>
    <t>334</t>
  </si>
  <si>
    <t>пр.50-летия Октября(пересечение с ул.Цивилева, аптека №48)</t>
  </si>
  <si>
    <t>51.836775, 107.594045</t>
  </si>
  <si>
    <t>335</t>
  </si>
  <si>
    <t>пр. 50-летия Октября, д.4</t>
  </si>
  <si>
    <t>51.836283, 107.593630</t>
  </si>
  <si>
    <t>336</t>
  </si>
  <si>
    <t>ул. Революции 1905 года, д.32</t>
  </si>
  <si>
    <t>51.838239, 107.589104</t>
  </si>
  <si>
    <t>337</t>
  </si>
  <si>
    <t>улица Гагарина, 22</t>
  </si>
  <si>
    <t>51.840363, 107.592473</t>
  </si>
  <si>
    <t>ул. Гагарина,20</t>
  </si>
  <si>
    <t>338</t>
  </si>
  <si>
    <t>пр. 50-летия Октября, д.3</t>
  </si>
  <si>
    <t>51.836088, 107.592455</t>
  </si>
  <si>
    <t>339</t>
  </si>
  <si>
    <t>пр. 50-летия Октября, д.26А</t>
  </si>
  <si>
    <t>51.838335, 107.597958</t>
  </si>
  <si>
    <t>340</t>
  </si>
  <si>
    <t>пр. 50-летия Октября</t>
  </si>
  <si>
    <t>51.840395, 107.601499</t>
  </si>
  <si>
    <t>341</t>
  </si>
  <si>
    <t>проспект 50-летия Октября, 20</t>
  </si>
  <si>
    <t>51.837858, 107.596943</t>
  </si>
  <si>
    <t>343</t>
  </si>
  <si>
    <t>ул. Краснодонская (Машзавод)</t>
  </si>
  <si>
    <t>51.864121, 107.730942</t>
  </si>
  <si>
    <t>344</t>
  </si>
  <si>
    <t>пос.Восточный (Обелиск)</t>
  </si>
  <si>
    <t>51.853942, 107.700724</t>
  </si>
  <si>
    <t>345</t>
  </si>
  <si>
    <t>пос. Зеленхоз</t>
  </si>
  <si>
    <t>51.844491, 107.665452</t>
  </si>
  <si>
    <t>346</t>
  </si>
  <si>
    <t>пос.Зеленый</t>
  </si>
  <si>
    <t>51.851505, 107.694923</t>
  </si>
  <si>
    <t>347</t>
  </si>
  <si>
    <t>улица Комарова, вблизи ТЦ "Абсолют"</t>
  </si>
  <si>
    <t>51.852723,107.698145</t>
  </si>
  <si>
    <t>349</t>
  </si>
  <si>
    <t>ул. Туполева, вблизи здания №1/1</t>
  </si>
  <si>
    <t>51.865450, 107.744242</t>
  </si>
  <si>
    <t>350</t>
  </si>
  <si>
    <t>пересечение улиц Магистральная и Авиаторов</t>
  </si>
  <si>
    <t>51.874853, 107.742868</t>
  </si>
  <si>
    <t>351</t>
  </si>
  <si>
    <t>Добролюбова, вблизи д.2</t>
  </si>
  <si>
    <t>51.846027, 107.586471</t>
  </si>
  <si>
    <t>352</t>
  </si>
  <si>
    <t>ул. Жуковского, вблизи д.129</t>
  </si>
  <si>
    <t>51.843198, 107.600779</t>
  </si>
  <si>
    <t>353</t>
  </si>
  <si>
    <t>Гагарина,д.83</t>
  </si>
  <si>
    <t>401</t>
  </si>
  <si>
    <t>ул. Революции</t>
  </si>
  <si>
    <t>51.843061, 107.581008</t>
  </si>
  <si>
    <t>402</t>
  </si>
  <si>
    <t>ул. Борсоева, д.73</t>
  </si>
  <si>
    <t>51.844381, 107.571960</t>
  </si>
  <si>
    <t>403(статика)</t>
  </si>
  <si>
    <t>ул. Борсоева</t>
  </si>
  <si>
    <t>404</t>
  </si>
  <si>
    <t>ул. Боросоева</t>
  </si>
  <si>
    <t>405</t>
  </si>
  <si>
    <t>406</t>
  </si>
  <si>
    <t>ул.Борсоева,путепровод</t>
  </si>
  <si>
    <t>407</t>
  </si>
  <si>
    <t>ул. Ербанова (правая)</t>
  </si>
  <si>
    <t>51.834281, 107.589407</t>
  </si>
  <si>
    <t>408</t>
  </si>
  <si>
    <t>ул. Бабушкина/ул. Терешковой</t>
  </si>
  <si>
    <t>51.808741, 107.598752</t>
  </si>
  <si>
    <t>41</t>
  </si>
  <si>
    <t>ул.Жердева</t>
  </si>
  <si>
    <t>51.815286, 107.647696</t>
  </si>
  <si>
    <t>410</t>
  </si>
  <si>
    <t>Бабушкина ул.(ТЦ "Восточные ворота")</t>
  </si>
  <si>
    <t>51.815998, 107.594185</t>
  </si>
  <si>
    <t>Щиты 12х4</t>
  </si>
  <si>
    <t>411</t>
  </si>
  <si>
    <t>ул. Бабушкина, вблизи дома 34</t>
  </si>
  <si>
    <t>412</t>
  </si>
  <si>
    <t>Пр. Строителей (пересечение с ул. Ключевская)</t>
  </si>
  <si>
    <t>51.821479, 107.658295</t>
  </si>
  <si>
    <t>413</t>
  </si>
  <si>
    <t>пр.Строителей,съезд с Богатырского моста</t>
  </si>
  <si>
    <t>51.814788, 107.656962</t>
  </si>
  <si>
    <t>414</t>
  </si>
  <si>
    <t>пр. Строителей</t>
  </si>
  <si>
    <t>51.811225, 107.652801</t>
  </si>
  <si>
    <t>415</t>
  </si>
  <si>
    <t>ул. Лимонова (Мегатитан)</t>
  </si>
  <si>
    <t>51.841960, 107.635303</t>
  </si>
  <si>
    <t>416</t>
  </si>
  <si>
    <t>пр. Автомобилистов (Аквасити)</t>
  </si>
  <si>
    <t>51.832117, 107.655553</t>
  </si>
  <si>
    <t>417</t>
  </si>
  <si>
    <t>ул. Борсоева (дом  №69) Перед монтажем согласовывать с Рудаковой В</t>
  </si>
  <si>
    <t>51.841989, 107.575528</t>
  </si>
  <si>
    <t>418</t>
  </si>
  <si>
    <t>ул. Лимонова (завод Аквабур)</t>
  </si>
  <si>
    <t>51.832622, 107.655375</t>
  </si>
  <si>
    <t>419</t>
  </si>
  <si>
    <t>ул. Бабушкина (въезд на мост, напротив ДЮТ)</t>
  </si>
  <si>
    <t>51.815546, 107.595262</t>
  </si>
  <si>
    <t>Суперсайт</t>
  </si>
  <si>
    <t>420</t>
  </si>
  <si>
    <t>пр. 50-летия Октября (пересечение с ул. Жуковского)</t>
  </si>
  <si>
    <t>51.841297, 107.602915</t>
  </si>
  <si>
    <t>Призматроны 15х5</t>
  </si>
  <si>
    <t>44</t>
  </si>
  <si>
    <t>улица Сахьяновой, 1</t>
  </si>
  <si>
    <t>51.814444, 107.623944</t>
  </si>
  <si>
    <t>ул.Сахьяновой</t>
  </si>
  <si>
    <t>45</t>
  </si>
  <si>
    <t>пр-т Строителей</t>
  </si>
  <si>
    <t>51.812111, 107.654389</t>
  </si>
  <si>
    <t>46</t>
  </si>
  <si>
    <t>51.808639, 107.646611</t>
  </si>
  <si>
    <t>47</t>
  </si>
  <si>
    <t>51.808444, 107.645278</t>
  </si>
  <si>
    <t>49</t>
  </si>
  <si>
    <t xml:space="preserve"> пр-т Автомобилистов</t>
  </si>
  <si>
    <t>51.826556, 107.657861</t>
  </si>
  <si>
    <t>4-Д</t>
  </si>
  <si>
    <t>ул. Стартовая – единственная автодорога в Аэропорт (направление в аэропорт)</t>
  </si>
  <si>
    <t>51.801311, 107.453308</t>
  </si>
  <si>
    <t>52</t>
  </si>
  <si>
    <t>ул.Н.Петрова</t>
  </si>
  <si>
    <t>51.843942, 107.647318</t>
  </si>
  <si>
    <t>53</t>
  </si>
  <si>
    <t>Ключевская,57</t>
  </si>
  <si>
    <t>51.812778, 107.595750</t>
  </si>
  <si>
    <t>54</t>
  </si>
  <si>
    <t>51.844472, 107.650278</t>
  </si>
  <si>
    <t>56</t>
  </si>
  <si>
    <t>Ключевская</t>
  </si>
  <si>
    <t>51.821472, 107.638639</t>
  </si>
  <si>
    <t>58</t>
  </si>
  <si>
    <t>51.813583, 107.657056</t>
  </si>
  <si>
    <t>59</t>
  </si>
  <si>
    <t>ул.Хоринская</t>
  </si>
  <si>
    <t>51.863917, 107.732250</t>
  </si>
  <si>
    <t>5-АЛ</t>
  </si>
  <si>
    <t>Революции 1905 г. ул./ 50-Летия Октября пр-т (в сторону пл. Советов)</t>
  </si>
  <si>
    <t>6</t>
  </si>
  <si>
    <t>пр-т Автомобилистов</t>
  </si>
  <si>
    <t>51.842306, 107.651361</t>
  </si>
  <si>
    <t>60</t>
  </si>
  <si>
    <t>ул.Кольцова</t>
  </si>
  <si>
    <t>51.818833, 107.681361</t>
  </si>
  <si>
    <t>600</t>
  </si>
  <si>
    <t>с.Нижняя Иволга, вблизи жилого дома№3</t>
  </si>
  <si>
    <t>51.768472,107.408261</t>
  </si>
  <si>
    <t>61</t>
  </si>
  <si>
    <t>51.817194, 107.679667</t>
  </si>
  <si>
    <t>62</t>
  </si>
  <si>
    <t>пр.Строителей,12</t>
  </si>
  <si>
    <t>51.807972, 107.644361</t>
  </si>
  <si>
    <t>64</t>
  </si>
  <si>
    <t>Жуковского,5</t>
  </si>
  <si>
    <t>51.842250, 107.601583</t>
  </si>
  <si>
    <t>65</t>
  </si>
  <si>
    <t>Бабушкина,57</t>
  </si>
  <si>
    <t>51.802333, 107.605611</t>
  </si>
  <si>
    <t>66</t>
  </si>
  <si>
    <t>Жердева,72</t>
  </si>
  <si>
    <t>51.814056, 107.653583</t>
  </si>
  <si>
    <t>68</t>
  </si>
  <si>
    <t>51.813944, 107.605167</t>
  </si>
  <si>
    <t>69</t>
  </si>
  <si>
    <t>ул.Трубачеева,14</t>
  </si>
  <si>
    <t>51.813667, 107.601750</t>
  </si>
  <si>
    <t>6-АЛ</t>
  </si>
  <si>
    <t>Балтахинова ул./ Шефский подьем</t>
  </si>
  <si>
    <t>51.826149, 107.590701</t>
  </si>
  <si>
    <t>71</t>
  </si>
  <si>
    <t>пр.Строителей,40</t>
  </si>
  <si>
    <t>51.809139, 107.646861</t>
  </si>
  <si>
    <t>72</t>
  </si>
  <si>
    <t>Добролюбова</t>
  </si>
  <si>
    <t>51.844667, 107.583361</t>
  </si>
  <si>
    <t>73</t>
  </si>
  <si>
    <t>51.816722, 107.637944</t>
  </si>
  <si>
    <t>74</t>
  </si>
  <si>
    <t>Гагарина, 30</t>
  </si>
  <si>
    <t>51.845444, 107.584750</t>
  </si>
  <si>
    <t>76-АЛ</t>
  </si>
  <si>
    <t>Автомобилистов пр-т / Ботаническая ул. (р-н "Стрелка")</t>
  </si>
  <si>
    <t>51.841359, 107.651221</t>
  </si>
  <si>
    <t>77 АЛ</t>
  </si>
  <si>
    <t>50-лет Октября пр-т / Гагарина ул. (ТЦ "Сагаан Морин")</t>
  </si>
  <si>
    <t>51.840407, 107.602028</t>
  </si>
  <si>
    <t>77</t>
  </si>
  <si>
    <t>В.Березовка</t>
  </si>
  <si>
    <t>51.888583, 107.667111</t>
  </si>
  <si>
    <t>78</t>
  </si>
  <si>
    <t>Добролюбова х Революции</t>
  </si>
  <si>
    <t>51.843250, 107.581083</t>
  </si>
  <si>
    <t>7-АЛ</t>
  </si>
  <si>
    <t>Бабушкина ул. ("Дворец детского и юнешеского творчества")</t>
  </si>
  <si>
    <t>Бабушкина ул. ("Дворец детского и юношеского творчества")</t>
  </si>
  <si>
    <t>8</t>
  </si>
  <si>
    <t>51.842417, 107.650778</t>
  </si>
  <si>
    <t>19-20/Продано, 22-31/Продано</t>
  </si>
  <si>
    <t>80</t>
  </si>
  <si>
    <t>51.841972, 107.618111</t>
  </si>
  <si>
    <t>836</t>
  </si>
  <si>
    <t>Зеленый, пос, вблизи пересечения с ул. Арбузова</t>
  </si>
  <si>
    <t>51.844554, 107.666345</t>
  </si>
  <si>
    <t>838</t>
  </si>
  <si>
    <t>Ул. Кабанская, вблизи здания 8 В</t>
  </si>
  <si>
    <t>51.845877, 107.514376</t>
  </si>
  <si>
    <t>1-11/Продано, 16-16/Продано</t>
  </si>
  <si>
    <t>84</t>
  </si>
  <si>
    <t>ул. Пр.Автомобилитов</t>
  </si>
  <si>
    <t>848</t>
  </si>
  <si>
    <t>Ул. Иволгинская</t>
  </si>
  <si>
    <t>51.842244, 107.532284</t>
  </si>
  <si>
    <t>849</t>
  </si>
  <si>
    <t>Ул. Кабанская, через дорогу от ул. Кабанская, д.50</t>
  </si>
  <si>
    <t>51.848981, 107.509081</t>
  </si>
  <si>
    <t>90-АЛ</t>
  </si>
  <si>
    <t>Бабушкина ул., д. 9</t>
  </si>
  <si>
    <t>99</t>
  </si>
  <si>
    <t>Ул, Тулаева, вблизи зд.148</t>
  </si>
  <si>
    <t>51.821780, 107.680543</t>
  </si>
  <si>
    <t>9-АЛ</t>
  </si>
  <si>
    <t>Борсоева ул. / Сухэ-Батора ул. (ИФНС№2)</t>
  </si>
  <si>
    <t>9-Д</t>
  </si>
  <si>
    <t>ул. Борсоева, д. 19Б, Бурятский Деловой Центр</t>
  </si>
  <si>
    <t>12 мес</t>
  </si>
  <si>
    <t>минус емкость призм , которые  будут экранами</t>
  </si>
  <si>
    <t>ИТОГО</t>
  </si>
  <si>
    <t>коэффициент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</si>
</sst>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\ &quot;₽&quot;"/>
  </numFmts>
  <fonts count="1102" x14ac:knownFonts="1">
    <font>
      <sz val="8"/>
      <name val="Arial"/>
    </font>
    <font>
      <sz val="8"/>
      <name val="Tahoma"/>
    </font>
    <font>
      <b/>
      <sz val="12"/>
      <name val="Tahoma"/>
    </font>
    <font>
      <sz val="9"/>
      <name val="Tahoma"/>
    </font>
    <font>
      <sz val="10"/>
      <name val="Tahoma"/>
      <family val="2"/>
    </font>
    <font>
      <sz val="9"/>
      <name val="Tahoma"/>
      <family val="2"/>
    </font>
    <font>
      <sz val="10"/>
      <name val="Tahoma"/>
    </font>
    <font>
      <sz val="10"/>
      <color rgb="FF000000"/>
      <name val="Tahoma"/>
      <family val="2"/>
    </font>
    <font>
      <sz val="10"/>
      <color rgb="FFFFFFFF"/>
      <name val="Tahoma"/>
      <family val="2"/>
    </font>
    <font>
      <b/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  <font>
      <u/>
      <sz val="10"/>
      <color rgb="FF4169E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B0C4DE"/>
        <bgColor auto="1"/>
      </patternFill>
    </fill>
    <fill>
      <patternFill patternType="solid">
        <fgColor rgb="FFB22222"/>
        <bgColor rgb="FFAAAAAA"/>
      </patternFill>
    </fill>
    <fill>
      <patternFill patternType="solid">
        <fgColor rgb="FFF1FFEE"/>
        <bgColor rgb="FFAAAAAA"/>
      </patternFill>
    </fill>
    <fill>
      <patternFill patternType="lightUp">
        <fgColor rgb="FF333333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 indent="1"/>
    </xf>
    <xf numFmtId="3" fontId="7" fillId="0" borderId="1" xfId="0" applyNumberFormat="1" applyFont="1" applyBorder="1" applyAlignment="1">
      <alignment horizontal="right" vertical="center" wrapText="1" indent="1"/>
    </xf>
    <xf numFmtId="0" fontId="7" fillId="4" borderId="1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1"/>
    </xf>
    <xf numFmtId="0" fontId="19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2" fillId="0" borderId="1" xfId="0" applyFont="1" applyBorder="1" applyAlignment="1">
      <alignment horizontal="left" vertical="center" wrapText="1" indent="1"/>
    </xf>
    <xf numFmtId="0" fontId="23" fillId="0" borderId="1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left" vertical="center" wrapText="1" indent="1"/>
    </xf>
    <xf numFmtId="0" fontId="25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left" vertical="center" wrapText="1" indent="1"/>
    </xf>
    <xf numFmtId="0" fontId="27" fillId="0" borderId="1" xfId="0" applyFont="1" applyBorder="1" applyAlignment="1">
      <alignment horizontal="left" vertical="center" wrapText="1" indent="1"/>
    </xf>
    <xf numFmtId="0" fontId="28" fillId="0" borderId="1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left" vertical="center" wrapText="1" indent="1"/>
    </xf>
    <xf numFmtId="0" fontId="30" fillId="0" borderId="1" xfId="0" applyFont="1" applyBorder="1" applyAlignment="1">
      <alignment horizontal="left" vertical="center" wrapText="1" indent="1"/>
    </xf>
    <xf numFmtId="0" fontId="31" fillId="0" borderId="1" xfId="0" applyFont="1" applyBorder="1" applyAlignment="1">
      <alignment horizontal="left" vertical="center" wrapText="1" indent="1"/>
    </xf>
    <xf numFmtId="0" fontId="32" fillId="0" borderId="1" xfId="0" applyFont="1" applyBorder="1" applyAlignment="1">
      <alignment horizontal="left" vertical="center" wrapText="1" indent="1"/>
    </xf>
    <xf numFmtId="0" fontId="33" fillId="0" borderId="1" xfId="0" applyFont="1" applyBorder="1" applyAlignment="1">
      <alignment horizontal="left" vertical="center" wrapText="1" indent="1"/>
    </xf>
    <xf numFmtId="0" fontId="34" fillId="0" borderId="1" xfId="0" applyFont="1" applyBorder="1" applyAlignment="1">
      <alignment horizontal="left" vertical="center" wrapText="1" indent="1"/>
    </xf>
    <xf numFmtId="0" fontId="35" fillId="0" borderId="1" xfId="0" applyFont="1" applyBorder="1" applyAlignment="1">
      <alignment horizontal="left" vertical="center" wrapText="1" indent="1"/>
    </xf>
    <xf numFmtId="0" fontId="36" fillId="0" borderId="1" xfId="0" applyFont="1" applyBorder="1" applyAlignment="1">
      <alignment horizontal="left" vertical="center" wrapText="1" indent="1"/>
    </xf>
    <xf numFmtId="0" fontId="37" fillId="0" borderId="1" xfId="0" applyFont="1" applyBorder="1" applyAlignment="1">
      <alignment horizontal="left" vertical="center" wrapText="1" indent="1"/>
    </xf>
    <xf numFmtId="0" fontId="38" fillId="0" borderId="1" xfId="0" applyFont="1" applyBorder="1" applyAlignment="1">
      <alignment horizontal="left" vertical="center" wrapText="1" indent="1"/>
    </xf>
    <xf numFmtId="0" fontId="39" fillId="0" borderId="1" xfId="0" applyFont="1" applyBorder="1" applyAlignment="1">
      <alignment horizontal="left" vertical="center" wrapText="1" indent="1"/>
    </xf>
    <xf numFmtId="0" fontId="40" fillId="0" borderId="1" xfId="0" applyFont="1" applyBorder="1" applyAlignment="1">
      <alignment horizontal="left" vertical="center" wrapText="1" indent="1"/>
    </xf>
    <xf numFmtId="0" fontId="41" fillId="0" borderId="1" xfId="0" applyFont="1" applyBorder="1" applyAlignment="1">
      <alignment horizontal="left" vertical="center" wrapText="1" indent="1"/>
    </xf>
    <xf numFmtId="0" fontId="42" fillId="0" borderId="1" xfId="0" applyFont="1" applyBorder="1" applyAlignment="1">
      <alignment horizontal="left" vertical="center" wrapText="1" indent="1"/>
    </xf>
    <xf numFmtId="0" fontId="43" fillId="0" borderId="1" xfId="0" applyFont="1" applyBorder="1" applyAlignment="1">
      <alignment horizontal="left" vertical="center" wrapText="1" indent="1"/>
    </xf>
    <xf numFmtId="0" fontId="44" fillId="0" borderId="1" xfId="0" applyFont="1" applyBorder="1" applyAlignment="1">
      <alignment horizontal="left" vertical="center" wrapText="1" indent="1"/>
    </xf>
    <xf numFmtId="0" fontId="45" fillId="0" borderId="1" xfId="0" applyFont="1" applyBorder="1" applyAlignment="1">
      <alignment horizontal="left" vertical="center" wrapText="1" indent="1"/>
    </xf>
    <xf numFmtId="0" fontId="46" fillId="0" borderId="1" xfId="0" applyFont="1" applyBorder="1" applyAlignment="1">
      <alignment horizontal="left" vertical="center" wrapText="1" indent="1"/>
    </xf>
    <xf numFmtId="0" fontId="47" fillId="0" borderId="1" xfId="0" applyFont="1" applyBorder="1" applyAlignment="1">
      <alignment horizontal="left" vertical="center" wrapText="1" indent="1"/>
    </xf>
    <xf numFmtId="0" fontId="48" fillId="0" borderId="1" xfId="0" applyFont="1" applyBorder="1" applyAlignment="1">
      <alignment horizontal="left" vertical="center" wrapText="1" indent="1"/>
    </xf>
    <xf numFmtId="0" fontId="49" fillId="0" borderId="1" xfId="0" applyFont="1" applyBorder="1" applyAlignment="1">
      <alignment horizontal="left" vertical="center" wrapText="1" indent="1"/>
    </xf>
    <xf numFmtId="0" fontId="50" fillId="0" borderId="1" xfId="0" applyFont="1" applyBorder="1" applyAlignment="1">
      <alignment horizontal="left" vertical="center" wrapText="1" indent="1"/>
    </xf>
    <xf numFmtId="0" fontId="51" fillId="0" borderId="1" xfId="0" applyFont="1" applyBorder="1" applyAlignment="1">
      <alignment horizontal="left" vertical="center" wrapText="1" indent="1"/>
    </xf>
    <xf numFmtId="0" fontId="52" fillId="0" borderId="1" xfId="0" applyFont="1" applyBorder="1" applyAlignment="1">
      <alignment horizontal="left" vertical="center" wrapText="1" indent="1"/>
    </xf>
    <xf numFmtId="0" fontId="53" fillId="0" borderId="1" xfId="0" applyFont="1" applyBorder="1" applyAlignment="1">
      <alignment horizontal="left" vertical="center" wrapText="1" indent="1"/>
    </xf>
    <xf numFmtId="0" fontId="54" fillId="0" borderId="1" xfId="0" applyFont="1" applyBorder="1" applyAlignment="1">
      <alignment horizontal="left" vertical="center" wrapText="1" indent="1"/>
    </xf>
    <xf numFmtId="0" fontId="55" fillId="0" borderId="1" xfId="0" applyFont="1" applyBorder="1" applyAlignment="1">
      <alignment horizontal="left" vertical="center" wrapText="1" indent="1"/>
    </xf>
    <xf numFmtId="0" fontId="56" fillId="0" borderId="1" xfId="0" applyFont="1" applyBorder="1" applyAlignment="1">
      <alignment horizontal="left" vertical="center" wrapText="1" indent="1"/>
    </xf>
    <xf numFmtId="0" fontId="57" fillId="0" borderId="1" xfId="0" applyFont="1" applyBorder="1" applyAlignment="1">
      <alignment horizontal="left" vertical="center" wrapText="1" indent="1"/>
    </xf>
    <xf numFmtId="0" fontId="58" fillId="0" borderId="1" xfId="0" applyFont="1" applyBorder="1" applyAlignment="1">
      <alignment horizontal="left" vertical="center" wrapText="1" indent="1"/>
    </xf>
    <xf numFmtId="0" fontId="59" fillId="0" borderId="1" xfId="0" applyFont="1" applyBorder="1" applyAlignment="1">
      <alignment horizontal="left" vertical="center" wrapText="1" indent="1"/>
    </xf>
    <xf numFmtId="0" fontId="60" fillId="0" borderId="1" xfId="0" applyFont="1" applyBorder="1" applyAlignment="1">
      <alignment horizontal="left" vertical="center" wrapText="1" indent="1"/>
    </xf>
    <xf numFmtId="0" fontId="61" fillId="0" borderId="1" xfId="0" applyFont="1" applyBorder="1" applyAlignment="1">
      <alignment horizontal="left" vertical="center" wrapText="1" indent="1"/>
    </xf>
    <xf numFmtId="0" fontId="62" fillId="0" borderId="1" xfId="0" applyFont="1" applyBorder="1" applyAlignment="1">
      <alignment horizontal="left" vertical="center" wrapText="1" indent="1"/>
    </xf>
    <xf numFmtId="0" fontId="63" fillId="0" borderId="1" xfId="0" applyFont="1" applyBorder="1" applyAlignment="1">
      <alignment horizontal="left" vertical="center" wrapText="1" indent="1"/>
    </xf>
    <xf numFmtId="0" fontId="64" fillId="0" borderId="1" xfId="0" applyFont="1" applyBorder="1" applyAlignment="1">
      <alignment horizontal="left" vertical="center" wrapText="1" indent="1"/>
    </xf>
    <xf numFmtId="0" fontId="65" fillId="0" borderId="1" xfId="0" applyFont="1" applyBorder="1" applyAlignment="1">
      <alignment horizontal="left" vertical="center" wrapText="1" indent="1"/>
    </xf>
    <xf numFmtId="0" fontId="66" fillId="0" borderId="1" xfId="0" applyFont="1" applyBorder="1" applyAlignment="1">
      <alignment horizontal="left" vertical="center" wrapText="1" indent="1"/>
    </xf>
    <xf numFmtId="0" fontId="67" fillId="0" borderId="1" xfId="0" applyFont="1" applyBorder="1" applyAlignment="1">
      <alignment horizontal="left" vertical="center" wrapText="1" indent="1"/>
    </xf>
    <xf numFmtId="0" fontId="68" fillId="0" borderId="1" xfId="0" applyFont="1" applyBorder="1" applyAlignment="1">
      <alignment horizontal="left" vertical="center" wrapText="1" indent="1"/>
    </xf>
    <xf numFmtId="0" fontId="69" fillId="0" borderId="1" xfId="0" applyFont="1" applyBorder="1" applyAlignment="1">
      <alignment horizontal="left" vertical="center" wrapText="1" indent="1"/>
    </xf>
    <xf numFmtId="0" fontId="70" fillId="0" borderId="1" xfId="0" applyFont="1" applyBorder="1" applyAlignment="1">
      <alignment horizontal="left" vertical="center" wrapText="1" indent="1"/>
    </xf>
    <xf numFmtId="0" fontId="71" fillId="0" borderId="1" xfId="0" applyFont="1" applyBorder="1" applyAlignment="1">
      <alignment horizontal="left" vertical="center" wrapText="1" indent="1"/>
    </xf>
    <xf numFmtId="0" fontId="72" fillId="0" borderId="1" xfId="0" applyFont="1" applyBorder="1" applyAlignment="1">
      <alignment horizontal="left" vertical="center" wrapText="1" indent="1"/>
    </xf>
    <xf numFmtId="0" fontId="73" fillId="0" borderId="1" xfId="0" applyFont="1" applyBorder="1" applyAlignment="1">
      <alignment horizontal="left" vertical="center" wrapText="1" indent="1"/>
    </xf>
    <xf numFmtId="0" fontId="74" fillId="0" borderId="1" xfId="0" applyFont="1" applyBorder="1" applyAlignment="1">
      <alignment horizontal="left" vertical="center" wrapText="1" indent="1"/>
    </xf>
    <xf numFmtId="0" fontId="75" fillId="0" borderId="1" xfId="0" applyFont="1" applyBorder="1" applyAlignment="1">
      <alignment horizontal="left" vertical="center" wrapText="1" indent="1"/>
    </xf>
    <xf numFmtId="0" fontId="76" fillId="0" borderId="1" xfId="0" applyFont="1" applyBorder="1" applyAlignment="1">
      <alignment horizontal="left" vertical="center" wrapText="1" indent="1"/>
    </xf>
    <xf numFmtId="0" fontId="77" fillId="0" borderId="1" xfId="0" applyFont="1" applyBorder="1" applyAlignment="1">
      <alignment horizontal="left" vertical="center" wrapText="1" indent="1"/>
    </xf>
    <xf numFmtId="0" fontId="78" fillId="0" borderId="1" xfId="0" applyFont="1" applyBorder="1" applyAlignment="1">
      <alignment horizontal="left" vertical="center" wrapText="1" indent="1"/>
    </xf>
    <xf numFmtId="0" fontId="79" fillId="0" borderId="1" xfId="0" applyFont="1" applyBorder="1" applyAlignment="1">
      <alignment horizontal="left" vertical="center" wrapText="1" indent="1"/>
    </xf>
    <xf numFmtId="0" fontId="80" fillId="0" borderId="1" xfId="0" applyFont="1" applyBorder="1" applyAlignment="1">
      <alignment horizontal="left" vertical="center" wrapText="1" indent="1"/>
    </xf>
    <xf numFmtId="0" fontId="81" fillId="0" borderId="1" xfId="0" applyFont="1" applyBorder="1" applyAlignment="1">
      <alignment horizontal="left" vertical="center" wrapText="1" indent="1"/>
    </xf>
    <xf numFmtId="0" fontId="82" fillId="0" borderId="1" xfId="0" applyFont="1" applyBorder="1" applyAlignment="1">
      <alignment horizontal="left" vertical="center" wrapText="1" indent="1"/>
    </xf>
    <xf numFmtId="0" fontId="83" fillId="0" borderId="1" xfId="0" applyFont="1" applyBorder="1" applyAlignment="1">
      <alignment horizontal="left" vertical="center" wrapText="1" indent="1"/>
    </xf>
    <xf numFmtId="0" fontId="84" fillId="0" borderId="1" xfId="0" applyFont="1" applyBorder="1" applyAlignment="1">
      <alignment horizontal="left" vertical="center" wrapText="1" indent="1"/>
    </xf>
    <xf numFmtId="0" fontId="85" fillId="0" borderId="1" xfId="0" applyFont="1" applyBorder="1" applyAlignment="1">
      <alignment horizontal="left" vertical="center" wrapText="1" indent="1"/>
    </xf>
    <xf numFmtId="0" fontId="86" fillId="0" borderId="1" xfId="0" applyFont="1" applyBorder="1" applyAlignment="1">
      <alignment horizontal="left" vertical="center" wrapText="1" indent="1"/>
    </xf>
    <xf numFmtId="0" fontId="87" fillId="0" borderId="1" xfId="0" applyFont="1" applyBorder="1" applyAlignment="1">
      <alignment horizontal="left" vertical="center" wrapText="1" indent="1"/>
    </xf>
    <xf numFmtId="0" fontId="88" fillId="0" borderId="1" xfId="0" applyFont="1" applyBorder="1" applyAlignment="1">
      <alignment horizontal="left" vertical="center" wrapText="1" indent="1"/>
    </xf>
    <xf numFmtId="0" fontId="89" fillId="0" borderId="1" xfId="0" applyFont="1" applyBorder="1" applyAlignment="1">
      <alignment horizontal="left" vertical="center" wrapText="1" indent="1"/>
    </xf>
    <xf numFmtId="0" fontId="90" fillId="0" borderId="1" xfId="0" applyFont="1" applyBorder="1" applyAlignment="1">
      <alignment horizontal="left" vertical="center" wrapText="1" indent="1"/>
    </xf>
    <xf numFmtId="0" fontId="91" fillId="0" borderId="1" xfId="0" applyFont="1" applyBorder="1" applyAlignment="1">
      <alignment horizontal="left" vertical="center" wrapText="1" indent="1"/>
    </xf>
    <xf numFmtId="0" fontId="92" fillId="0" borderId="1" xfId="0" applyFont="1" applyBorder="1" applyAlignment="1">
      <alignment horizontal="left" vertical="center" wrapText="1" indent="1"/>
    </xf>
    <xf numFmtId="0" fontId="93" fillId="0" borderId="1" xfId="0" applyFont="1" applyBorder="1" applyAlignment="1">
      <alignment horizontal="left" vertical="center" wrapText="1" indent="1"/>
    </xf>
    <xf numFmtId="0" fontId="94" fillId="0" borderId="1" xfId="0" applyFont="1" applyBorder="1" applyAlignment="1">
      <alignment horizontal="left" vertical="center" wrapText="1" indent="1"/>
    </xf>
    <xf numFmtId="0" fontId="95" fillId="0" borderId="1" xfId="0" applyFont="1" applyBorder="1" applyAlignment="1">
      <alignment horizontal="left" vertical="center" wrapText="1" indent="1"/>
    </xf>
    <xf numFmtId="0" fontId="96" fillId="0" borderId="1" xfId="0" applyFont="1" applyBorder="1" applyAlignment="1">
      <alignment horizontal="left" vertical="center" wrapText="1" indent="1"/>
    </xf>
    <xf numFmtId="0" fontId="97" fillId="0" borderId="1" xfId="0" applyFont="1" applyBorder="1" applyAlignment="1">
      <alignment horizontal="left" vertical="center" wrapText="1" indent="1"/>
    </xf>
    <xf numFmtId="0" fontId="98" fillId="0" borderId="1" xfId="0" applyFont="1" applyBorder="1" applyAlignment="1">
      <alignment horizontal="left" vertical="center" wrapText="1" indent="1"/>
    </xf>
    <xf numFmtId="0" fontId="99" fillId="0" borderId="1" xfId="0" applyFont="1" applyBorder="1" applyAlignment="1">
      <alignment horizontal="left" vertical="center" wrapText="1" indent="1"/>
    </xf>
    <xf numFmtId="0" fontId="100" fillId="0" borderId="1" xfId="0" applyFont="1" applyBorder="1" applyAlignment="1">
      <alignment horizontal="left" vertical="center" wrapText="1" indent="1"/>
    </xf>
    <xf numFmtId="0" fontId="101" fillId="0" borderId="1" xfId="0" applyFont="1" applyBorder="1" applyAlignment="1">
      <alignment horizontal="left" vertical="center" wrapText="1" indent="1"/>
    </xf>
    <xf numFmtId="0" fontId="102" fillId="0" borderId="1" xfId="0" applyFont="1" applyBorder="1" applyAlignment="1">
      <alignment horizontal="left" vertical="center" wrapText="1" indent="1"/>
    </xf>
    <xf numFmtId="0" fontId="103" fillId="0" borderId="1" xfId="0" applyFont="1" applyBorder="1" applyAlignment="1">
      <alignment horizontal="left" vertical="center" wrapText="1" indent="1"/>
    </xf>
    <xf numFmtId="0" fontId="104" fillId="0" borderId="1" xfId="0" applyFont="1" applyBorder="1" applyAlignment="1">
      <alignment horizontal="left" vertical="center" wrapText="1" indent="1"/>
    </xf>
    <xf numFmtId="0" fontId="105" fillId="0" borderId="1" xfId="0" applyFont="1" applyBorder="1" applyAlignment="1">
      <alignment horizontal="left" vertical="center" wrapText="1" indent="1"/>
    </xf>
    <xf numFmtId="0" fontId="106" fillId="0" borderId="1" xfId="0" applyFont="1" applyBorder="1" applyAlignment="1">
      <alignment horizontal="left" vertical="center" wrapText="1" indent="1"/>
    </xf>
    <xf numFmtId="0" fontId="107" fillId="0" borderId="1" xfId="0" applyFont="1" applyBorder="1" applyAlignment="1">
      <alignment horizontal="left" vertical="center" wrapText="1" indent="1"/>
    </xf>
    <xf numFmtId="0" fontId="108" fillId="0" borderId="1" xfId="0" applyFont="1" applyBorder="1" applyAlignment="1">
      <alignment horizontal="left" vertical="center" wrapText="1" indent="1"/>
    </xf>
    <xf numFmtId="0" fontId="109" fillId="0" borderId="1" xfId="0" applyFont="1" applyBorder="1" applyAlignment="1">
      <alignment horizontal="left" vertical="center" wrapText="1" indent="1"/>
    </xf>
    <xf numFmtId="0" fontId="110" fillId="0" borderId="1" xfId="0" applyFont="1" applyBorder="1" applyAlignment="1">
      <alignment horizontal="left" vertical="center" wrapText="1" indent="1"/>
    </xf>
    <xf numFmtId="0" fontId="111" fillId="0" borderId="1" xfId="0" applyFont="1" applyBorder="1" applyAlignment="1">
      <alignment horizontal="left" vertical="center" wrapText="1" indent="1"/>
    </xf>
    <xf numFmtId="0" fontId="112" fillId="0" borderId="1" xfId="0" applyFont="1" applyBorder="1" applyAlignment="1">
      <alignment horizontal="left" vertical="center" wrapText="1" indent="1"/>
    </xf>
    <xf numFmtId="0" fontId="113" fillId="0" borderId="1" xfId="0" applyFont="1" applyBorder="1" applyAlignment="1">
      <alignment horizontal="left" vertical="center" wrapText="1" indent="1"/>
    </xf>
    <xf numFmtId="0" fontId="114" fillId="0" borderId="1" xfId="0" applyFont="1" applyBorder="1" applyAlignment="1">
      <alignment horizontal="left" vertical="center" wrapText="1" indent="1"/>
    </xf>
    <xf numFmtId="0" fontId="115" fillId="0" borderId="1" xfId="0" applyFont="1" applyBorder="1" applyAlignment="1">
      <alignment horizontal="left" vertical="center" wrapText="1" indent="1"/>
    </xf>
    <xf numFmtId="0" fontId="116" fillId="0" borderId="1" xfId="0" applyFont="1" applyBorder="1" applyAlignment="1">
      <alignment horizontal="left" vertical="center" wrapText="1" indent="1"/>
    </xf>
    <xf numFmtId="0" fontId="117" fillId="0" borderId="1" xfId="0" applyFont="1" applyBorder="1" applyAlignment="1">
      <alignment horizontal="left" vertical="center" wrapText="1" indent="1"/>
    </xf>
    <xf numFmtId="0" fontId="118" fillId="0" borderId="1" xfId="0" applyFont="1" applyBorder="1" applyAlignment="1">
      <alignment horizontal="left" vertical="center" wrapText="1" indent="1"/>
    </xf>
    <xf numFmtId="0" fontId="119" fillId="0" borderId="1" xfId="0" applyFont="1" applyBorder="1" applyAlignment="1">
      <alignment horizontal="left" vertical="center" wrapText="1" indent="1"/>
    </xf>
    <xf numFmtId="0" fontId="120" fillId="0" borderId="1" xfId="0" applyFont="1" applyBorder="1" applyAlignment="1">
      <alignment horizontal="left" vertical="center" wrapText="1" indent="1"/>
    </xf>
    <xf numFmtId="0" fontId="121" fillId="0" borderId="1" xfId="0" applyFont="1" applyBorder="1" applyAlignment="1">
      <alignment horizontal="left" vertical="center" wrapText="1" indent="1"/>
    </xf>
    <xf numFmtId="0" fontId="122" fillId="0" borderId="1" xfId="0" applyFont="1" applyBorder="1" applyAlignment="1">
      <alignment horizontal="left" vertical="center" wrapText="1" indent="1"/>
    </xf>
    <xf numFmtId="0" fontId="123" fillId="0" borderId="1" xfId="0" applyFont="1" applyBorder="1" applyAlignment="1">
      <alignment horizontal="left" vertical="center" wrapText="1" indent="1"/>
    </xf>
    <xf numFmtId="0" fontId="124" fillId="0" borderId="1" xfId="0" applyFont="1" applyBorder="1" applyAlignment="1">
      <alignment horizontal="left" vertical="center" wrapText="1" indent="1"/>
    </xf>
    <xf numFmtId="0" fontId="125" fillId="0" borderId="1" xfId="0" applyFont="1" applyBorder="1" applyAlignment="1">
      <alignment horizontal="left" vertical="center" wrapText="1" indent="1"/>
    </xf>
    <xf numFmtId="0" fontId="126" fillId="0" borderId="1" xfId="0" applyFont="1" applyBorder="1" applyAlignment="1">
      <alignment horizontal="left" vertical="center" wrapText="1" indent="1"/>
    </xf>
    <xf numFmtId="0" fontId="127" fillId="0" borderId="1" xfId="0" applyFont="1" applyBorder="1" applyAlignment="1">
      <alignment horizontal="left" vertical="center" wrapText="1" indent="1"/>
    </xf>
    <xf numFmtId="0" fontId="128" fillId="0" borderId="1" xfId="0" applyFont="1" applyBorder="1" applyAlignment="1">
      <alignment horizontal="left" vertical="center" wrapText="1" indent="1"/>
    </xf>
    <xf numFmtId="0" fontId="129" fillId="0" borderId="1" xfId="0" applyFont="1" applyBorder="1" applyAlignment="1">
      <alignment horizontal="left" vertical="center" wrapText="1" indent="1"/>
    </xf>
    <xf numFmtId="0" fontId="130" fillId="0" borderId="1" xfId="0" applyFont="1" applyBorder="1" applyAlignment="1">
      <alignment horizontal="left" vertical="center" wrapText="1" indent="1"/>
    </xf>
    <xf numFmtId="0" fontId="131" fillId="0" borderId="1" xfId="0" applyFont="1" applyBorder="1" applyAlignment="1">
      <alignment horizontal="left" vertical="center" wrapText="1" indent="1"/>
    </xf>
    <xf numFmtId="0" fontId="132" fillId="0" borderId="1" xfId="0" applyFont="1" applyBorder="1" applyAlignment="1">
      <alignment horizontal="left" vertical="center" wrapText="1" indent="1"/>
    </xf>
    <xf numFmtId="0" fontId="133" fillId="0" borderId="1" xfId="0" applyFont="1" applyBorder="1" applyAlignment="1">
      <alignment horizontal="left" vertical="center" wrapText="1" indent="1"/>
    </xf>
    <xf numFmtId="0" fontId="134" fillId="0" borderId="1" xfId="0" applyFont="1" applyBorder="1" applyAlignment="1">
      <alignment horizontal="left" vertical="center" wrapText="1" indent="1"/>
    </xf>
    <xf numFmtId="0" fontId="135" fillId="0" borderId="1" xfId="0" applyFont="1" applyBorder="1" applyAlignment="1">
      <alignment horizontal="left" vertical="center" wrapText="1" indent="1"/>
    </xf>
    <xf numFmtId="0" fontId="136" fillId="0" borderId="1" xfId="0" applyFont="1" applyBorder="1" applyAlignment="1">
      <alignment horizontal="left" vertical="center" wrapText="1" indent="1"/>
    </xf>
    <xf numFmtId="0" fontId="137" fillId="0" borderId="1" xfId="0" applyFont="1" applyBorder="1" applyAlignment="1">
      <alignment horizontal="left" vertical="center" wrapText="1" indent="1"/>
    </xf>
    <xf numFmtId="0" fontId="138" fillId="0" borderId="1" xfId="0" applyFont="1" applyBorder="1" applyAlignment="1">
      <alignment horizontal="left" vertical="center" wrapText="1" indent="1"/>
    </xf>
    <xf numFmtId="0" fontId="139" fillId="0" borderId="1" xfId="0" applyFont="1" applyBorder="1" applyAlignment="1">
      <alignment horizontal="left" vertical="center" wrapText="1" indent="1"/>
    </xf>
    <xf numFmtId="0" fontId="140" fillId="0" borderId="1" xfId="0" applyFont="1" applyBorder="1" applyAlignment="1">
      <alignment horizontal="left" vertical="center" wrapText="1" indent="1"/>
    </xf>
    <xf numFmtId="0" fontId="141" fillId="0" borderId="1" xfId="0" applyFont="1" applyBorder="1" applyAlignment="1">
      <alignment horizontal="left" vertical="center" wrapText="1" indent="1"/>
    </xf>
    <xf numFmtId="0" fontId="142" fillId="0" borderId="1" xfId="0" applyFont="1" applyBorder="1" applyAlignment="1">
      <alignment horizontal="left" vertical="center" wrapText="1" indent="1"/>
    </xf>
    <xf numFmtId="0" fontId="143" fillId="0" borderId="1" xfId="0" applyFont="1" applyBorder="1" applyAlignment="1">
      <alignment horizontal="left" vertical="center" wrapText="1" indent="1"/>
    </xf>
    <xf numFmtId="0" fontId="144" fillId="0" borderId="1" xfId="0" applyFont="1" applyBorder="1" applyAlignment="1">
      <alignment horizontal="left" vertical="center" wrapText="1" indent="1"/>
    </xf>
    <xf numFmtId="0" fontId="145" fillId="0" borderId="1" xfId="0" applyFont="1" applyBorder="1" applyAlignment="1">
      <alignment horizontal="left" vertical="center" wrapText="1" indent="1"/>
    </xf>
    <xf numFmtId="0" fontId="146" fillId="0" borderId="1" xfId="0" applyFont="1" applyBorder="1" applyAlignment="1">
      <alignment horizontal="left" vertical="center" wrapText="1" indent="1"/>
    </xf>
    <xf numFmtId="0" fontId="147" fillId="0" borderId="1" xfId="0" applyFont="1" applyBorder="1" applyAlignment="1">
      <alignment horizontal="left" vertical="center" wrapText="1" indent="1"/>
    </xf>
    <xf numFmtId="0" fontId="148" fillId="0" borderId="1" xfId="0" applyFont="1" applyBorder="1" applyAlignment="1">
      <alignment horizontal="left" vertical="center" wrapText="1" indent="1"/>
    </xf>
    <xf numFmtId="0" fontId="149" fillId="0" borderId="1" xfId="0" applyFont="1" applyBorder="1" applyAlignment="1">
      <alignment horizontal="left" vertical="center" wrapText="1" indent="1"/>
    </xf>
    <xf numFmtId="0" fontId="150" fillId="0" borderId="1" xfId="0" applyFont="1" applyBorder="1" applyAlignment="1">
      <alignment horizontal="left" vertical="center" wrapText="1" indent="1"/>
    </xf>
    <xf numFmtId="0" fontId="151" fillId="0" borderId="1" xfId="0" applyFont="1" applyBorder="1" applyAlignment="1">
      <alignment horizontal="left" vertical="center" wrapText="1" indent="1"/>
    </xf>
    <xf numFmtId="0" fontId="152" fillId="0" borderId="1" xfId="0" applyFont="1" applyBorder="1" applyAlignment="1">
      <alignment horizontal="left" vertical="center" wrapText="1" indent="1"/>
    </xf>
    <xf numFmtId="0" fontId="153" fillId="0" borderId="1" xfId="0" applyFont="1" applyBorder="1" applyAlignment="1">
      <alignment horizontal="left" vertical="center" wrapText="1" indent="1"/>
    </xf>
    <xf numFmtId="0" fontId="154" fillId="0" borderId="1" xfId="0" applyFont="1" applyBorder="1" applyAlignment="1">
      <alignment horizontal="left" vertical="center" wrapText="1" indent="1"/>
    </xf>
    <xf numFmtId="0" fontId="155" fillId="0" borderId="1" xfId="0" applyFont="1" applyBorder="1" applyAlignment="1">
      <alignment horizontal="left" vertical="center" wrapText="1" indent="1"/>
    </xf>
    <xf numFmtId="0" fontId="156" fillId="0" borderId="1" xfId="0" applyFont="1" applyBorder="1" applyAlignment="1">
      <alignment horizontal="left" vertical="center" wrapText="1" indent="1"/>
    </xf>
    <xf numFmtId="0" fontId="157" fillId="0" borderId="1" xfId="0" applyFont="1" applyBorder="1" applyAlignment="1">
      <alignment horizontal="left" vertical="center" wrapText="1" indent="1"/>
    </xf>
    <xf numFmtId="0" fontId="158" fillId="0" borderId="1" xfId="0" applyFont="1" applyBorder="1" applyAlignment="1">
      <alignment horizontal="left" vertical="center" wrapText="1" indent="1"/>
    </xf>
    <xf numFmtId="0" fontId="159" fillId="0" borderId="1" xfId="0" applyFont="1" applyBorder="1" applyAlignment="1">
      <alignment horizontal="left" vertical="center" wrapText="1" indent="1"/>
    </xf>
    <xf numFmtId="0" fontId="160" fillId="0" borderId="1" xfId="0" applyFont="1" applyBorder="1" applyAlignment="1">
      <alignment horizontal="left" vertical="center" wrapText="1" indent="1"/>
    </xf>
    <xf numFmtId="0" fontId="161" fillId="0" borderId="1" xfId="0" applyFont="1" applyBorder="1" applyAlignment="1">
      <alignment horizontal="left" vertical="center" wrapText="1" indent="1"/>
    </xf>
    <xf numFmtId="0" fontId="162" fillId="0" borderId="1" xfId="0" applyFont="1" applyBorder="1" applyAlignment="1">
      <alignment horizontal="left" vertical="center" wrapText="1" indent="1"/>
    </xf>
    <xf numFmtId="0" fontId="163" fillId="0" borderId="1" xfId="0" applyFont="1" applyBorder="1" applyAlignment="1">
      <alignment horizontal="left" vertical="center" wrapText="1" indent="1"/>
    </xf>
    <xf numFmtId="0" fontId="164" fillId="0" borderId="1" xfId="0" applyFont="1" applyBorder="1" applyAlignment="1">
      <alignment horizontal="left" vertical="center" wrapText="1" indent="1"/>
    </xf>
    <xf numFmtId="0" fontId="165" fillId="0" borderId="1" xfId="0" applyFont="1" applyBorder="1" applyAlignment="1">
      <alignment horizontal="left" vertical="center" wrapText="1" indent="1"/>
    </xf>
    <xf numFmtId="0" fontId="166" fillId="0" borderId="1" xfId="0" applyFont="1" applyBorder="1" applyAlignment="1">
      <alignment horizontal="left" vertical="center" wrapText="1" indent="1"/>
    </xf>
    <xf numFmtId="0" fontId="167" fillId="0" borderId="1" xfId="0" applyFont="1" applyBorder="1" applyAlignment="1">
      <alignment horizontal="left" vertical="center" wrapText="1" indent="1"/>
    </xf>
    <xf numFmtId="0" fontId="168" fillId="0" borderId="1" xfId="0" applyFont="1" applyBorder="1" applyAlignment="1">
      <alignment horizontal="left" vertical="center" wrapText="1" indent="1"/>
    </xf>
    <xf numFmtId="0" fontId="169" fillId="0" borderId="1" xfId="0" applyFont="1" applyBorder="1" applyAlignment="1">
      <alignment horizontal="left" vertical="center" wrapText="1" indent="1"/>
    </xf>
    <xf numFmtId="0" fontId="170" fillId="0" borderId="1" xfId="0" applyFont="1" applyBorder="1" applyAlignment="1">
      <alignment horizontal="left" vertical="center" wrapText="1" indent="1"/>
    </xf>
    <xf numFmtId="0" fontId="171" fillId="0" borderId="1" xfId="0" applyFont="1" applyBorder="1" applyAlignment="1">
      <alignment horizontal="left" vertical="center" wrapText="1" indent="1"/>
    </xf>
    <xf numFmtId="0" fontId="172" fillId="0" borderId="1" xfId="0" applyFont="1" applyBorder="1" applyAlignment="1">
      <alignment horizontal="left" vertical="center" wrapText="1" indent="1"/>
    </xf>
    <xf numFmtId="0" fontId="173" fillId="0" borderId="1" xfId="0" applyFont="1" applyBorder="1" applyAlignment="1">
      <alignment horizontal="left" vertical="center" wrapText="1" indent="1"/>
    </xf>
    <xf numFmtId="0" fontId="174" fillId="0" borderId="1" xfId="0" applyFont="1" applyBorder="1" applyAlignment="1">
      <alignment horizontal="left" vertical="center" wrapText="1" indent="1"/>
    </xf>
    <xf numFmtId="0" fontId="175" fillId="0" borderId="1" xfId="0" applyFont="1" applyBorder="1" applyAlignment="1">
      <alignment horizontal="left" vertical="center" wrapText="1" indent="1"/>
    </xf>
    <xf numFmtId="0" fontId="176" fillId="0" borderId="1" xfId="0" applyFont="1" applyBorder="1" applyAlignment="1">
      <alignment horizontal="left" vertical="center" wrapText="1" indent="1"/>
    </xf>
    <xf numFmtId="0" fontId="177" fillId="0" borderId="1" xfId="0" applyFont="1" applyBorder="1" applyAlignment="1">
      <alignment horizontal="left" vertical="center" wrapText="1" indent="1"/>
    </xf>
    <xf numFmtId="0" fontId="178" fillId="0" borderId="1" xfId="0" applyFont="1" applyBorder="1" applyAlignment="1">
      <alignment horizontal="left" vertical="center" wrapText="1" indent="1"/>
    </xf>
    <xf numFmtId="0" fontId="179" fillId="0" borderId="1" xfId="0" applyFont="1" applyBorder="1" applyAlignment="1">
      <alignment horizontal="left" vertical="center" wrapText="1" indent="1"/>
    </xf>
    <xf numFmtId="0" fontId="180" fillId="0" borderId="1" xfId="0" applyFont="1" applyBorder="1" applyAlignment="1">
      <alignment horizontal="left" vertical="center" wrapText="1" indent="1"/>
    </xf>
    <xf numFmtId="0" fontId="181" fillId="0" borderId="1" xfId="0" applyFont="1" applyBorder="1" applyAlignment="1">
      <alignment horizontal="left" vertical="center" wrapText="1" indent="1"/>
    </xf>
    <xf numFmtId="0" fontId="182" fillId="0" borderId="1" xfId="0" applyFont="1" applyBorder="1" applyAlignment="1">
      <alignment horizontal="left" vertical="center" wrapText="1" indent="1"/>
    </xf>
    <xf numFmtId="0" fontId="183" fillId="0" borderId="1" xfId="0" applyFont="1" applyBorder="1" applyAlignment="1">
      <alignment horizontal="left" vertical="center" wrapText="1" indent="1"/>
    </xf>
    <xf numFmtId="0" fontId="184" fillId="0" borderId="1" xfId="0" applyFont="1" applyBorder="1" applyAlignment="1">
      <alignment horizontal="left" vertical="center" wrapText="1" indent="1"/>
    </xf>
    <xf numFmtId="0" fontId="185" fillId="0" borderId="1" xfId="0" applyFont="1" applyBorder="1" applyAlignment="1">
      <alignment horizontal="left" vertical="center" wrapText="1" indent="1"/>
    </xf>
    <xf numFmtId="0" fontId="186" fillId="0" borderId="1" xfId="0" applyFont="1" applyBorder="1" applyAlignment="1">
      <alignment horizontal="left" vertical="center" wrapText="1" indent="1"/>
    </xf>
    <xf numFmtId="0" fontId="187" fillId="0" borderId="1" xfId="0" applyFont="1" applyBorder="1" applyAlignment="1">
      <alignment horizontal="left" vertical="center" wrapText="1" indent="1"/>
    </xf>
    <xf numFmtId="0" fontId="188" fillId="0" borderId="1" xfId="0" applyFont="1" applyBorder="1" applyAlignment="1">
      <alignment horizontal="left" vertical="center" wrapText="1" indent="1"/>
    </xf>
    <xf numFmtId="0" fontId="189" fillId="0" borderId="1" xfId="0" applyFont="1" applyBorder="1" applyAlignment="1">
      <alignment horizontal="left" vertical="center" wrapText="1" indent="1"/>
    </xf>
    <xf numFmtId="0" fontId="190" fillId="0" borderId="1" xfId="0" applyFont="1" applyBorder="1" applyAlignment="1">
      <alignment horizontal="left" vertical="center" wrapText="1" indent="1"/>
    </xf>
    <xf numFmtId="0" fontId="191" fillId="0" borderId="1" xfId="0" applyFont="1" applyBorder="1" applyAlignment="1">
      <alignment horizontal="left" vertical="center" wrapText="1" indent="1"/>
    </xf>
    <xf numFmtId="0" fontId="192" fillId="0" borderId="1" xfId="0" applyFont="1" applyBorder="1" applyAlignment="1">
      <alignment horizontal="left" vertical="center" wrapText="1" indent="1"/>
    </xf>
    <xf numFmtId="0" fontId="193" fillId="0" borderId="1" xfId="0" applyFont="1" applyBorder="1" applyAlignment="1">
      <alignment horizontal="left" vertical="center" wrapText="1" indent="1"/>
    </xf>
    <xf numFmtId="0" fontId="194" fillId="0" borderId="1" xfId="0" applyFont="1" applyBorder="1" applyAlignment="1">
      <alignment horizontal="left" vertical="center" wrapText="1" indent="1"/>
    </xf>
    <xf numFmtId="0" fontId="195" fillId="0" borderId="1" xfId="0" applyFont="1" applyBorder="1" applyAlignment="1">
      <alignment horizontal="left" vertical="center" wrapText="1" indent="1"/>
    </xf>
    <xf numFmtId="0" fontId="196" fillId="0" borderId="1" xfId="0" applyFont="1" applyBorder="1" applyAlignment="1">
      <alignment horizontal="left" vertical="center" wrapText="1" indent="1"/>
    </xf>
    <xf numFmtId="0" fontId="197" fillId="0" borderId="1" xfId="0" applyFont="1" applyBorder="1" applyAlignment="1">
      <alignment horizontal="left" vertical="center" wrapText="1" indent="1"/>
    </xf>
    <xf numFmtId="0" fontId="198" fillId="0" borderId="1" xfId="0" applyFont="1" applyBorder="1" applyAlignment="1">
      <alignment horizontal="left" vertical="center" wrapText="1" indent="1"/>
    </xf>
    <xf numFmtId="0" fontId="199" fillId="0" borderId="1" xfId="0" applyFont="1" applyBorder="1" applyAlignment="1">
      <alignment horizontal="left" vertical="center" wrapText="1" indent="1"/>
    </xf>
    <xf numFmtId="0" fontId="200" fillId="0" borderId="1" xfId="0" applyFont="1" applyBorder="1" applyAlignment="1">
      <alignment horizontal="left" vertical="center" wrapText="1" indent="1"/>
    </xf>
    <xf numFmtId="0" fontId="201" fillId="0" borderId="1" xfId="0" applyFont="1" applyBorder="1" applyAlignment="1">
      <alignment horizontal="left" vertical="center" wrapText="1" indent="1"/>
    </xf>
    <xf numFmtId="0" fontId="202" fillId="0" borderId="1" xfId="0" applyFont="1" applyBorder="1" applyAlignment="1">
      <alignment horizontal="left" vertical="center" wrapText="1" indent="1"/>
    </xf>
    <xf numFmtId="0" fontId="203" fillId="0" borderId="1" xfId="0" applyFont="1" applyBorder="1" applyAlignment="1">
      <alignment horizontal="left" vertical="center" wrapText="1" indent="1"/>
    </xf>
    <xf numFmtId="0" fontId="204" fillId="0" borderId="1" xfId="0" applyFont="1" applyBorder="1" applyAlignment="1">
      <alignment horizontal="left" vertical="center" wrapText="1" indent="1"/>
    </xf>
    <xf numFmtId="0" fontId="205" fillId="0" borderId="1" xfId="0" applyFont="1" applyBorder="1" applyAlignment="1">
      <alignment horizontal="left" vertical="center" wrapText="1" indent="1"/>
    </xf>
    <xf numFmtId="0" fontId="206" fillId="0" borderId="1" xfId="0" applyFont="1" applyBorder="1" applyAlignment="1">
      <alignment horizontal="left" vertical="center" wrapText="1" indent="1"/>
    </xf>
    <xf numFmtId="0" fontId="207" fillId="0" borderId="1" xfId="0" applyFont="1" applyBorder="1" applyAlignment="1">
      <alignment horizontal="left" vertical="center" wrapText="1" indent="1"/>
    </xf>
    <xf numFmtId="0" fontId="208" fillId="0" borderId="1" xfId="0" applyFont="1" applyBorder="1" applyAlignment="1">
      <alignment horizontal="left" vertical="center" wrapText="1" indent="1"/>
    </xf>
    <xf numFmtId="0" fontId="209" fillId="0" borderId="1" xfId="0" applyFont="1" applyBorder="1" applyAlignment="1">
      <alignment horizontal="left" vertical="center" wrapText="1" indent="1"/>
    </xf>
    <xf numFmtId="0" fontId="210" fillId="0" borderId="1" xfId="0" applyFont="1" applyBorder="1" applyAlignment="1">
      <alignment horizontal="left" vertical="center" wrapText="1" indent="1"/>
    </xf>
    <xf numFmtId="0" fontId="211" fillId="0" borderId="1" xfId="0" applyFont="1" applyBorder="1" applyAlignment="1">
      <alignment horizontal="left" vertical="center" wrapText="1" indent="1"/>
    </xf>
    <xf numFmtId="0" fontId="212" fillId="0" borderId="1" xfId="0" applyFont="1" applyBorder="1" applyAlignment="1">
      <alignment horizontal="left" vertical="center" wrapText="1" indent="1"/>
    </xf>
    <xf numFmtId="0" fontId="213" fillId="0" borderId="1" xfId="0" applyFont="1" applyBorder="1" applyAlignment="1">
      <alignment horizontal="left" vertical="center" wrapText="1" indent="1"/>
    </xf>
    <xf numFmtId="0" fontId="214" fillId="0" borderId="1" xfId="0" applyFont="1" applyBorder="1" applyAlignment="1">
      <alignment horizontal="left" vertical="center" wrapText="1" indent="1"/>
    </xf>
    <xf numFmtId="0" fontId="215" fillId="0" borderId="1" xfId="0" applyFont="1" applyBorder="1" applyAlignment="1">
      <alignment horizontal="left" vertical="center" wrapText="1" indent="1"/>
    </xf>
    <xf numFmtId="0" fontId="216" fillId="0" borderId="1" xfId="0" applyFont="1" applyBorder="1" applyAlignment="1">
      <alignment horizontal="left" vertical="center" wrapText="1" indent="1"/>
    </xf>
    <xf numFmtId="0" fontId="217" fillId="0" borderId="1" xfId="0" applyFont="1" applyBorder="1" applyAlignment="1">
      <alignment horizontal="left" vertical="center" wrapText="1" indent="1"/>
    </xf>
    <xf numFmtId="0" fontId="218" fillId="0" borderId="1" xfId="0" applyFont="1" applyBorder="1" applyAlignment="1">
      <alignment horizontal="left" vertical="center" wrapText="1" indent="1"/>
    </xf>
    <xf numFmtId="0" fontId="219" fillId="0" borderId="1" xfId="0" applyFont="1" applyBorder="1" applyAlignment="1">
      <alignment horizontal="left" vertical="center" wrapText="1" indent="1"/>
    </xf>
    <xf numFmtId="0" fontId="220" fillId="0" borderId="1" xfId="0" applyFont="1" applyBorder="1" applyAlignment="1">
      <alignment horizontal="left" vertical="center" wrapText="1" indent="1"/>
    </xf>
    <xf numFmtId="0" fontId="221" fillId="0" borderId="1" xfId="0" applyFont="1" applyBorder="1" applyAlignment="1">
      <alignment horizontal="left" vertical="center" wrapText="1" indent="1"/>
    </xf>
    <xf numFmtId="0" fontId="222" fillId="0" borderId="1" xfId="0" applyFont="1" applyBorder="1" applyAlignment="1">
      <alignment horizontal="left" vertical="center" wrapText="1" indent="1"/>
    </xf>
    <xf numFmtId="0" fontId="223" fillId="0" borderId="1" xfId="0" applyFont="1" applyBorder="1" applyAlignment="1">
      <alignment horizontal="left" vertical="center" wrapText="1" indent="1"/>
    </xf>
    <xf numFmtId="0" fontId="224" fillId="0" borderId="1" xfId="0" applyFont="1" applyBorder="1" applyAlignment="1">
      <alignment horizontal="left" vertical="center" wrapText="1" indent="1"/>
    </xf>
    <xf numFmtId="0" fontId="225" fillId="0" borderId="1" xfId="0" applyFont="1" applyBorder="1" applyAlignment="1">
      <alignment horizontal="left" vertical="center" wrapText="1" indent="1"/>
    </xf>
    <xf numFmtId="0" fontId="226" fillId="0" borderId="1" xfId="0" applyFont="1" applyBorder="1" applyAlignment="1">
      <alignment horizontal="left" vertical="center" wrapText="1" indent="1"/>
    </xf>
    <xf numFmtId="0" fontId="227" fillId="0" borderId="1" xfId="0" applyFont="1" applyBorder="1" applyAlignment="1">
      <alignment horizontal="left" vertical="center" wrapText="1" indent="1"/>
    </xf>
    <xf numFmtId="0" fontId="228" fillId="0" borderId="1" xfId="0" applyFont="1" applyBorder="1" applyAlignment="1">
      <alignment horizontal="left" vertical="center" wrapText="1" indent="1"/>
    </xf>
    <xf numFmtId="0" fontId="229" fillId="0" borderId="1" xfId="0" applyFont="1" applyBorder="1" applyAlignment="1">
      <alignment horizontal="left" vertical="center" wrapText="1" indent="1"/>
    </xf>
    <xf numFmtId="0" fontId="230" fillId="0" borderId="1" xfId="0" applyFont="1" applyBorder="1" applyAlignment="1">
      <alignment horizontal="left" vertical="center" wrapText="1" indent="1"/>
    </xf>
    <xf numFmtId="0" fontId="231" fillId="0" borderId="1" xfId="0" applyFont="1" applyBorder="1" applyAlignment="1">
      <alignment horizontal="left" vertical="center" wrapText="1" indent="1"/>
    </xf>
    <xf numFmtId="0" fontId="232" fillId="0" borderId="1" xfId="0" applyFont="1" applyBorder="1" applyAlignment="1">
      <alignment horizontal="left" vertical="center" wrapText="1" indent="1"/>
    </xf>
    <xf numFmtId="0" fontId="233" fillId="0" borderId="1" xfId="0" applyFont="1" applyBorder="1" applyAlignment="1">
      <alignment horizontal="left" vertical="center" wrapText="1" indent="1"/>
    </xf>
    <xf numFmtId="0" fontId="234" fillId="0" borderId="1" xfId="0" applyFont="1" applyBorder="1" applyAlignment="1">
      <alignment horizontal="left" vertical="center" wrapText="1" indent="1"/>
    </xf>
    <xf numFmtId="0" fontId="235" fillId="0" borderId="1" xfId="0" applyFont="1" applyBorder="1" applyAlignment="1">
      <alignment horizontal="left" vertical="center" wrapText="1" indent="1"/>
    </xf>
    <xf numFmtId="0" fontId="236" fillId="0" borderId="1" xfId="0" applyFont="1" applyBorder="1" applyAlignment="1">
      <alignment horizontal="left" vertical="center" wrapText="1" indent="1"/>
    </xf>
    <xf numFmtId="0" fontId="237" fillId="0" borderId="1" xfId="0" applyFont="1" applyBorder="1" applyAlignment="1">
      <alignment horizontal="left" vertical="center" wrapText="1" indent="1"/>
    </xf>
    <xf numFmtId="0" fontId="238" fillId="0" borderId="1" xfId="0" applyFont="1" applyBorder="1" applyAlignment="1">
      <alignment horizontal="left" vertical="center" wrapText="1" indent="1"/>
    </xf>
    <xf numFmtId="0" fontId="239" fillId="0" borderId="1" xfId="0" applyFont="1" applyBorder="1" applyAlignment="1">
      <alignment horizontal="left" vertical="center" wrapText="1" indent="1"/>
    </xf>
    <xf numFmtId="0" fontId="240" fillId="0" borderId="1" xfId="0" applyFont="1" applyBorder="1" applyAlignment="1">
      <alignment horizontal="left" vertical="center" wrapText="1" indent="1"/>
    </xf>
    <xf numFmtId="0" fontId="241" fillId="0" borderId="1" xfId="0" applyFont="1" applyBorder="1" applyAlignment="1">
      <alignment horizontal="left" vertical="center" wrapText="1" indent="1"/>
    </xf>
    <xf numFmtId="0" fontId="242" fillId="0" borderId="1" xfId="0" applyFont="1" applyBorder="1" applyAlignment="1">
      <alignment horizontal="left" vertical="center" wrapText="1" indent="1"/>
    </xf>
    <xf numFmtId="0" fontId="243" fillId="0" borderId="1" xfId="0" applyFont="1" applyBorder="1" applyAlignment="1">
      <alignment horizontal="left" vertical="center" wrapText="1" indent="1"/>
    </xf>
    <xf numFmtId="0" fontId="244" fillId="0" borderId="1" xfId="0" applyFont="1" applyBorder="1" applyAlignment="1">
      <alignment horizontal="left" vertical="center" wrapText="1" indent="1"/>
    </xf>
    <xf numFmtId="0" fontId="245" fillId="0" borderId="1" xfId="0" applyFont="1" applyBorder="1" applyAlignment="1">
      <alignment horizontal="left" vertical="center" wrapText="1" indent="1"/>
    </xf>
    <xf numFmtId="0" fontId="246" fillId="0" borderId="1" xfId="0" applyFont="1" applyBorder="1" applyAlignment="1">
      <alignment horizontal="left" vertical="center" wrapText="1" indent="1"/>
    </xf>
    <xf numFmtId="0" fontId="247" fillId="0" borderId="1" xfId="0" applyFont="1" applyBorder="1" applyAlignment="1">
      <alignment horizontal="left" vertical="center" wrapText="1" indent="1"/>
    </xf>
    <xf numFmtId="0" fontId="248" fillId="0" borderId="1" xfId="0" applyFont="1" applyBorder="1" applyAlignment="1">
      <alignment horizontal="left" vertical="center" wrapText="1" indent="1"/>
    </xf>
    <xf numFmtId="0" fontId="249" fillId="0" borderId="1" xfId="0" applyFont="1" applyBorder="1" applyAlignment="1">
      <alignment horizontal="left" vertical="center" wrapText="1" indent="1"/>
    </xf>
    <xf numFmtId="0" fontId="250" fillId="0" borderId="1" xfId="0" applyFont="1" applyBorder="1" applyAlignment="1">
      <alignment horizontal="left" vertical="center" wrapText="1" indent="1"/>
    </xf>
    <xf numFmtId="0" fontId="251" fillId="0" borderId="1" xfId="0" applyFont="1" applyBorder="1" applyAlignment="1">
      <alignment horizontal="left" vertical="center" wrapText="1" indent="1"/>
    </xf>
    <xf numFmtId="0" fontId="252" fillId="0" borderId="1" xfId="0" applyFont="1" applyBorder="1" applyAlignment="1">
      <alignment horizontal="left" vertical="center" wrapText="1" indent="1"/>
    </xf>
    <xf numFmtId="0" fontId="253" fillId="0" borderId="1" xfId="0" applyFont="1" applyBorder="1" applyAlignment="1">
      <alignment horizontal="left" vertical="center" wrapText="1" indent="1"/>
    </xf>
    <xf numFmtId="0" fontId="254" fillId="0" borderId="1" xfId="0" applyFont="1" applyBorder="1" applyAlignment="1">
      <alignment horizontal="left" vertical="center" wrapText="1" indent="1"/>
    </xf>
    <xf numFmtId="0" fontId="255" fillId="0" borderId="1" xfId="0" applyFont="1" applyBorder="1" applyAlignment="1">
      <alignment horizontal="left" vertical="center" wrapText="1" indent="1"/>
    </xf>
    <xf numFmtId="0" fontId="256" fillId="0" borderId="1" xfId="0" applyFont="1" applyBorder="1" applyAlignment="1">
      <alignment horizontal="left" vertical="center" wrapText="1" indent="1"/>
    </xf>
    <xf numFmtId="0" fontId="257" fillId="0" borderId="1" xfId="0" applyFont="1" applyBorder="1" applyAlignment="1">
      <alignment horizontal="left" vertical="center" wrapText="1" indent="1"/>
    </xf>
    <xf numFmtId="0" fontId="258" fillId="0" borderId="1" xfId="0" applyFont="1" applyBorder="1" applyAlignment="1">
      <alignment horizontal="left" vertical="center" wrapText="1" indent="1"/>
    </xf>
    <xf numFmtId="0" fontId="259" fillId="0" borderId="1" xfId="0" applyFont="1" applyBorder="1" applyAlignment="1">
      <alignment horizontal="left" vertical="center" wrapText="1" indent="1"/>
    </xf>
    <xf numFmtId="0" fontId="260" fillId="0" borderId="1" xfId="0" applyFont="1" applyBorder="1" applyAlignment="1">
      <alignment horizontal="left" vertical="center" wrapText="1" indent="1"/>
    </xf>
    <xf numFmtId="0" fontId="261" fillId="0" borderId="1" xfId="0" applyFont="1" applyBorder="1" applyAlignment="1">
      <alignment horizontal="left" vertical="center" wrapText="1" indent="1"/>
    </xf>
    <xf numFmtId="0" fontId="262" fillId="0" borderId="1" xfId="0" applyFont="1" applyBorder="1" applyAlignment="1">
      <alignment horizontal="left" vertical="center" wrapText="1" indent="1"/>
    </xf>
    <xf numFmtId="0" fontId="263" fillId="0" borderId="1" xfId="0" applyFont="1" applyBorder="1" applyAlignment="1">
      <alignment horizontal="left" vertical="center" wrapText="1" indent="1"/>
    </xf>
    <xf numFmtId="0" fontId="264" fillId="0" borderId="1" xfId="0" applyFont="1" applyBorder="1" applyAlignment="1">
      <alignment horizontal="left" vertical="center" wrapText="1" indent="1"/>
    </xf>
    <xf numFmtId="0" fontId="265" fillId="0" borderId="1" xfId="0" applyFont="1" applyBorder="1" applyAlignment="1">
      <alignment horizontal="left" vertical="center" wrapText="1" indent="1"/>
    </xf>
    <xf numFmtId="0" fontId="266" fillId="0" borderId="1" xfId="0" applyFont="1" applyBorder="1" applyAlignment="1">
      <alignment horizontal="left" vertical="center" wrapText="1" indent="1"/>
    </xf>
    <xf numFmtId="0" fontId="267" fillId="0" borderId="1" xfId="0" applyFont="1" applyBorder="1" applyAlignment="1">
      <alignment horizontal="left" vertical="center" wrapText="1" indent="1"/>
    </xf>
    <xf numFmtId="0" fontId="268" fillId="0" borderId="1" xfId="0" applyFont="1" applyBorder="1" applyAlignment="1">
      <alignment horizontal="left" vertical="center" wrapText="1" indent="1"/>
    </xf>
    <xf numFmtId="0" fontId="269" fillId="0" borderId="1" xfId="0" applyFont="1" applyBorder="1" applyAlignment="1">
      <alignment horizontal="left" vertical="center" wrapText="1" indent="1"/>
    </xf>
    <xf numFmtId="0" fontId="270" fillId="0" borderId="1" xfId="0" applyFont="1" applyBorder="1" applyAlignment="1">
      <alignment horizontal="left" vertical="center" wrapText="1" indent="1"/>
    </xf>
    <xf numFmtId="0" fontId="271" fillId="0" borderId="1" xfId="0" applyFont="1" applyBorder="1" applyAlignment="1">
      <alignment horizontal="left" vertical="center" wrapText="1" indent="1"/>
    </xf>
    <xf numFmtId="0" fontId="272" fillId="0" borderId="1" xfId="0" applyFont="1" applyBorder="1" applyAlignment="1">
      <alignment horizontal="left" vertical="center" wrapText="1" indent="1"/>
    </xf>
    <xf numFmtId="0" fontId="273" fillId="0" borderId="1" xfId="0" applyFont="1" applyBorder="1" applyAlignment="1">
      <alignment horizontal="left" vertical="center" wrapText="1" indent="1"/>
    </xf>
    <xf numFmtId="0" fontId="274" fillId="0" borderId="1" xfId="0" applyFont="1" applyBorder="1" applyAlignment="1">
      <alignment horizontal="left" vertical="center" wrapText="1" indent="1"/>
    </xf>
    <xf numFmtId="0" fontId="275" fillId="0" borderId="1" xfId="0" applyFont="1" applyBorder="1" applyAlignment="1">
      <alignment horizontal="left" vertical="center" wrapText="1" indent="1"/>
    </xf>
    <xf numFmtId="0" fontId="276" fillId="0" borderId="1" xfId="0" applyFont="1" applyBorder="1" applyAlignment="1">
      <alignment horizontal="left" vertical="center" wrapText="1" indent="1"/>
    </xf>
    <xf numFmtId="0" fontId="277" fillId="0" borderId="1" xfId="0" applyFont="1" applyBorder="1" applyAlignment="1">
      <alignment horizontal="left" vertical="center" wrapText="1" indent="1"/>
    </xf>
    <xf numFmtId="0" fontId="278" fillId="0" borderId="1" xfId="0" applyFont="1" applyBorder="1" applyAlignment="1">
      <alignment horizontal="left" vertical="center" wrapText="1" indent="1"/>
    </xf>
    <xf numFmtId="0" fontId="279" fillId="0" borderId="1" xfId="0" applyFont="1" applyBorder="1" applyAlignment="1">
      <alignment horizontal="left" vertical="center" wrapText="1" indent="1"/>
    </xf>
    <xf numFmtId="0" fontId="280" fillId="0" borderId="1" xfId="0" applyFont="1" applyBorder="1" applyAlignment="1">
      <alignment horizontal="left" vertical="center" wrapText="1" indent="1"/>
    </xf>
    <xf numFmtId="0" fontId="281" fillId="0" borderId="1" xfId="0" applyFont="1" applyBorder="1" applyAlignment="1">
      <alignment horizontal="left" vertical="center" wrapText="1" indent="1"/>
    </xf>
    <xf numFmtId="0" fontId="282" fillId="0" borderId="1" xfId="0" applyFont="1" applyBorder="1" applyAlignment="1">
      <alignment horizontal="left" vertical="center" wrapText="1" indent="1"/>
    </xf>
    <xf numFmtId="0" fontId="283" fillId="0" borderId="1" xfId="0" applyFont="1" applyBorder="1" applyAlignment="1">
      <alignment horizontal="left" vertical="center" wrapText="1" indent="1"/>
    </xf>
    <xf numFmtId="0" fontId="284" fillId="0" borderId="1" xfId="0" applyFont="1" applyBorder="1" applyAlignment="1">
      <alignment horizontal="left" vertical="center" wrapText="1" indent="1"/>
    </xf>
    <xf numFmtId="0" fontId="285" fillId="0" borderId="1" xfId="0" applyFont="1" applyBorder="1" applyAlignment="1">
      <alignment horizontal="left" vertical="center" wrapText="1" indent="1"/>
    </xf>
    <xf numFmtId="0" fontId="286" fillId="0" borderId="1" xfId="0" applyFont="1" applyBorder="1" applyAlignment="1">
      <alignment horizontal="left" vertical="center" wrapText="1" indent="1"/>
    </xf>
    <xf numFmtId="0" fontId="287" fillId="0" borderId="1" xfId="0" applyFont="1" applyBorder="1" applyAlignment="1">
      <alignment horizontal="left" vertical="center" wrapText="1" indent="1"/>
    </xf>
    <xf numFmtId="0" fontId="288" fillId="0" borderId="1" xfId="0" applyFont="1" applyBorder="1" applyAlignment="1">
      <alignment horizontal="left" vertical="center" wrapText="1" indent="1"/>
    </xf>
    <xf numFmtId="0" fontId="289" fillId="0" borderId="1" xfId="0" applyFont="1" applyBorder="1" applyAlignment="1">
      <alignment horizontal="left" vertical="center" wrapText="1" indent="1"/>
    </xf>
    <xf numFmtId="0" fontId="290" fillId="0" borderId="1" xfId="0" applyFont="1" applyBorder="1" applyAlignment="1">
      <alignment horizontal="left" vertical="center" wrapText="1" indent="1"/>
    </xf>
    <xf numFmtId="0" fontId="291" fillId="0" borderId="1" xfId="0" applyFont="1" applyBorder="1" applyAlignment="1">
      <alignment horizontal="left" vertical="center" wrapText="1" indent="1"/>
    </xf>
    <xf numFmtId="0" fontId="292" fillId="0" borderId="1" xfId="0" applyFont="1" applyBorder="1" applyAlignment="1">
      <alignment horizontal="left" vertical="center" wrapText="1" indent="1"/>
    </xf>
    <xf numFmtId="0" fontId="293" fillId="0" borderId="1" xfId="0" applyFont="1" applyBorder="1" applyAlignment="1">
      <alignment horizontal="left" vertical="center" wrapText="1" indent="1"/>
    </xf>
    <xf numFmtId="0" fontId="294" fillId="0" borderId="1" xfId="0" applyFont="1" applyBorder="1" applyAlignment="1">
      <alignment horizontal="left" vertical="center" wrapText="1" indent="1"/>
    </xf>
    <xf numFmtId="0" fontId="295" fillId="0" borderId="1" xfId="0" applyFont="1" applyBorder="1" applyAlignment="1">
      <alignment horizontal="left" vertical="center" wrapText="1" indent="1"/>
    </xf>
    <xf numFmtId="0" fontId="296" fillId="0" borderId="1" xfId="0" applyFont="1" applyBorder="1" applyAlignment="1">
      <alignment horizontal="left" vertical="center" wrapText="1" indent="1"/>
    </xf>
    <xf numFmtId="0" fontId="297" fillId="0" borderId="1" xfId="0" applyFont="1" applyBorder="1" applyAlignment="1">
      <alignment horizontal="left" vertical="center" wrapText="1" indent="1"/>
    </xf>
    <xf numFmtId="0" fontId="298" fillId="0" borderId="1" xfId="0" applyFont="1" applyBorder="1" applyAlignment="1">
      <alignment horizontal="left" vertical="center" wrapText="1" indent="1"/>
    </xf>
    <xf numFmtId="0" fontId="299" fillId="0" borderId="1" xfId="0" applyFont="1" applyBorder="1" applyAlignment="1">
      <alignment horizontal="left" vertical="center" wrapText="1" indent="1"/>
    </xf>
    <xf numFmtId="0" fontId="300" fillId="0" borderId="1" xfId="0" applyFont="1" applyBorder="1" applyAlignment="1">
      <alignment horizontal="left" vertical="center" wrapText="1" indent="1"/>
    </xf>
    <xf numFmtId="0" fontId="301" fillId="0" borderId="1" xfId="0" applyFont="1" applyBorder="1" applyAlignment="1">
      <alignment horizontal="left" vertical="center" wrapText="1" indent="1"/>
    </xf>
    <xf numFmtId="0" fontId="302" fillId="0" borderId="1" xfId="0" applyFont="1" applyBorder="1" applyAlignment="1">
      <alignment horizontal="left" vertical="center" wrapText="1" indent="1"/>
    </xf>
    <xf numFmtId="0" fontId="303" fillId="0" borderId="1" xfId="0" applyFont="1" applyBorder="1" applyAlignment="1">
      <alignment horizontal="left" vertical="center" wrapText="1" indent="1"/>
    </xf>
    <xf numFmtId="0" fontId="304" fillId="0" borderId="1" xfId="0" applyFont="1" applyBorder="1" applyAlignment="1">
      <alignment horizontal="left" vertical="center" wrapText="1" indent="1"/>
    </xf>
    <xf numFmtId="0" fontId="305" fillId="0" borderId="1" xfId="0" applyFont="1" applyBorder="1" applyAlignment="1">
      <alignment horizontal="left" vertical="center" wrapText="1" indent="1"/>
    </xf>
    <xf numFmtId="0" fontId="306" fillId="0" borderId="1" xfId="0" applyFont="1" applyBorder="1" applyAlignment="1">
      <alignment horizontal="left" vertical="center" wrapText="1" indent="1"/>
    </xf>
    <xf numFmtId="0" fontId="307" fillId="0" borderId="1" xfId="0" applyFont="1" applyBorder="1" applyAlignment="1">
      <alignment horizontal="left" vertical="center" wrapText="1" indent="1"/>
    </xf>
    <xf numFmtId="0" fontId="308" fillId="0" borderId="1" xfId="0" applyFont="1" applyBorder="1" applyAlignment="1">
      <alignment horizontal="left" vertical="center" wrapText="1" indent="1"/>
    </xf>
    <xf numFmtId="0" fontId="309" fillId="0" borderId="1" xfId="0" applyFont="1" applyBorder="1" applyAlignment="1">
      <alignment horizontal="left" vertical="center" wrapText="1" indent="1"/>
    </xf>
    <xf numFmtId="0" fontId="310" fillId="0" borderId="1" xfId="0" applyFont="1" applyBorder="1" applyAlignment="1">
      <alignment horizontal="left" vertical="center" wrapText="1" indent="1"/>
    </xf>
    <xf numFmtId="0" fontId="311" fillId="0" borderId="1" xfId="0" applyFont="1" applyBorder="1" applyAlignment="1">
      <alignment horizontal="left" vertical="center" wrapText="1" indent="1"/>
    </xf>
    <xf numFmtId="0" fontId="312" fillId="0" borderId="1" xfId="0" applyFont="1" applyBorder="1" applyAlignment="1">
      <alignment horizontal="left" vertical="center" wrapText="1" indent="1"/>
    </xf>
    <xf numFmtId="0" fontId="313" fillId="0" borderId="1" xfId="0" applyFont="1" applyBorder="1" applyAlignment="1">
      <alignment horizontal="left" vertical="center" wrapText="1" indent="1"/>
    </xf>
    <xf numFmtId="0" fontId="314" fillId="0" borderId="1" xfId="0" applyFont="1" applyBorder="1" applyAlignment="1">
      <alignment horizontal="left" vertical="center" wrapText="1" indent="1"/>
    </xf>
    <xf numFmtId="0" fontId="315" fillId="0" borderId="1" xfId="0" applyFont="1" applyBorder="1" applyAlignment="1">
      <alignment horizontal="left" vertical="center" wrapText="1" indent="1"/>
    </xf>
    <xf numFmtId="0" fontId="316" fillId="0" borderId="1" xfId="0" applyFont="1" applyBorder="1" applyAlignment="1">
      <alignment horizontal="left" vertical="center" wrapText="1" indent="1"/>
    </xf>
    <xf numFmtId="0" fontId="317" fillId="0" borderId="1" xfId="0" applyFont="1" applyBorder="1" applyAlignment="1">
      <alignment horizontal="left" vertical="center" wrapText="1" indent="1"/>
    </xf>
    <xf numFmtId="0" fontId="318" fillId="0" borderId="1" xfId="0" applyFont="1" applyBorder="1" applyAlignment="1">
      <alignment horizontal="left" vertical="center" wrapText="1" indent="1"/>
    </xf>
    <xf numFmtId="0" fontId="319" fillId="0" borderId="1" xfId="0" applyFont="1" applyBorder="1" applyAlignment="1">
      <alignment horizontal="left" vertical="center" wrapText="1" indent="1"/>
    </xf>
    <xf numFmtId="0" fontId="320" fillId="0" borderId="1" xfId="0" applyFont="1" applyBorder="1" applyAlignment="1">
      <alignment horizontal="left" vertical="center" wrapText="1" indent="1"/>
    </xf>
    <xf numFmtId="0" fontId="321" fillId="0" borderId="1" xfId="0" applyFont="1" applyBorder="1" applyAlignment="1">
      <alignment horizontal="left" vertical="center" wrapText="1" indent="1"/>
    </xf>
    <xf numFmtId="0" fontId="322" fillId="0" borderId="1" xfId="0" applyFont="1" applyBorder="1" applyAlignment="1">
      <alignment horizontal="left" vertical="center" wrapText="1" indent="1"/>
    </xf>
    <xf numFmtId="0" fontId="323" fillId="0" borderId="1" xfId="0" applyFont="1" applyBorder="1" applyAlignment="1">
      <alignment horizontal="left" vertical="center" wrapText="1" indent="1"/>
    </xf>
    <xf numFmtId="0" fontId="324" fillId="0" borderId="1" xfId="0" applyFont="1" applyBorder="1" applyAlignment="1">
      <alignment horizontal="left" vertical="center" wrapText="1" indent="1"/>
    </xf>
    <xf numFmtId="0" fontId="325" fillId="0" borderId="1" xfId="0" applyFont="1" applyBorder="1" applyAlignment="1">
      <alignment horizontal="left" vertical="center" wrapText="1" indent="1"/>
    </xf>
    <xf numFmtId="0" fontId="326" fillId="0" borderId="1" xfId="0" applyFont="1" applyBorder="1" applyAlignment="1">
      <alignment horizontal="left" vertical="center" wrapText="1" indent="1"/>
    </xf>
    <xf numFmtId="0" fontId="327" fillId="0" borderId="1" xfId="0" applyFont="1" applyBorder="1" applyAlignment="1">
      <alignment horizontal="left" vertical="center" wrapText="1" indent="1"/>
    </xf>
    <xf numFmtId="0" fontId="328" fillId="0" borderId="1" xfId="0" applyFont="1" applyBorder="1" applyAlignment="1">
      <alignment horizontal="left" vertical="center" wrapText="1" indent="1"/>
    </xf>
    <xf numFmtId="0" fontId="329" fillId="0" borderId="1" xfId="0" applyFont="1" applyBorder="1" applyAlignment="1">
      <alignment horizontal="left" vertical="center" wrapText="1" indent="1"/>
    </xf>
    <xf numFmtId="0" fontId="330" fillId="0" borderId="1" xfId="0" applyFont="1" applyBorder="1" applyAlignment="1">
      <alignment horizontal="left" vertical="center" wrapText="1" indent="1"/>
    </xf>
    <xf numFmtId="0" fontId="331" fillId="0" borderId="1" xfId="0" applyFont="1" applyBorder="1" applyAlignment="1">
      <alignment horizontal="left" vertical="center" wrapText="1" indent="1"/>
    </xf>
    <xf numFmtId="0" fontId="332" fillId="0" borderId="1" xfId="0" applyFont="1" applyBorder="1" applyAlignment="1">
      <alignment horizontal="left" vertical="center" wrapText="1" indent="1"/>
    </xf>
    <xf numFmtId="0" fontId="333" fillId="0" borderId="1" xfId="0" applyFont="1" applyBorder="1" applyAlignment="1">
      <alignment horizontal="left" vertical="center" wrapText="1" indent="1"/>
    </xf>
    <xf numFmtId="0" fontId="334" fillId="0" borderId="1" xfId="0" applyFont="1" applyBorder="1" applyAlignment="1">
      <alignment horizontal="left" vertical="center" wrapText="1" indent="1"/>
    </xf>
    <xf numFmtId="0" fontId="335" fillId="0" borderId="1" xfId="0" applyFont="1" applyBorder="1" applyAlignment="1">
      <alignment horizontal="left" vertical="center" wrapText="1" indent="1"/>
    </xf>
    <xf numFmtId="0" fontId="336" fillId="0" borderId="1" xfId="0" applyFont="1" applyBorder="1" applyAlignment="1">
      <alignment horizontal="left" vertical="center" wrapText="1" indent="1"/>
    </xf>
    <xf numFmtId="0" fontId="337" fillId="0" borderId="1" xfId="0" applyFont="1" applyBorder="1" applyAlignment="1">
      <alignment horizontal="left" vertical="center" wrapText="1" indent="1"/>
    </xf>
    <xf numFmtId="0" fontId="338" fillId="0" borderId="1" xfId="0" applyFont="1" applyBorder="1" applyAlignment="1">
      <alignment horizontal="left" vertical="center" wrapText="1" indent="1"/>
    </xf>
    <xf numFmtId="0" fontId="339" fillId="0" borderId="1" xfId="0" applyFont="1" applyBorder="1" applyAlignment="1">
      <alignment horizontal="left" vertical="center" wrapText="1" indent="1"/>
    </xf>
    <xf numFmtId="0" fontId="340" fillId="0" borderId="1" xfId="0" applyFont="1" applyBorder="1" applyAlignment="1">
      <alignment horizontal="left" vertical="center" wrapText="1" indent="1"/>
    </xf>
    <xf numFmtId="0" fontId="341" fillId="0" borderId="1" xfId="0" applyFont="1" applyBorder="1" applyAlignment="1">
      <alignment horizontal="left" vertical="center" wrapText="1" indent="1"/>
    </xf>
    <xf numFmtId="0" fontId="342" fillId="0" borderId="1" xfId="0" applyFont="1" applyBorder="1" applyAlignment="1">
      <alignment horizontal="left" vertical="center" wrapText="1" indent="1"/>
    </xf>
    <xf numFmtId="0" fontId="343" fillId="0" borderId="1" xfId="0" applyFont="1" applyBorder="1" applyAlignment="1">
      <alignment horizontal="left" vertical="center" wrapText="1" indent="1"/>
    </xf>
    <xf numFmtId="0" fontId="344" fillId="0" borderId="1" xfId="0" applyFont="1" applyBorder="1" applyAlignment="1">
      <alignment horizontal="left" vertical="center" wrapText="1" indent="1"/>
    </xf>
    <xf numFmtId="0" fontId="345" fillId="0" borderId="1" xfId="0" applyFont="1" applyBorder="1" applyAlignment="1">
      <alignment horizontal="left" vertical="center" wrapText="1" indent="1"/>
    </xf>
    <xf numFmtId="0" fontId="346" fillId="0" borderId="1" xfId="0" applyFont="1" applyBorder="1" applyAlignment="1">
      <alignment horizontal="left" vertical="center" wrapText="1" indent="1"/>
    </xf>
    <xf numFmtId="0" fontId="347" fillId="0" borderId="1" xfId="0" applyFont="1" applyBorder="1" applyAlignment="1">
      <alignment horizontal="left" vertical="center" wrapText="1" indent="1"/>
    </xf>
    <xf numFmtId="0" fontId="348" fillId="0" borderId="1" xfId="0" applyFont="1" applyBorder="1" applyAlignment="1">
      <alignment horizontal="left" vertical="center" wrapText="1" indent="1"/>
    </xf>
    <xf numFmtId="0" fontId="349" fillId="0" borderId="1" xfId="0" applyFont="1" applyBorder="1" applyAlignment="1">
      <alignment horizontal="left" vertical="center" wrapText="1" indent="1"/>
    </xf>
    <xf numFmtId="0" fontId="350" fillId="0" borderId="1" xfId="0" applyFont="1" applyBorder="1" applyAlignment="1">
      <alignment horizontal="left" vertical="center" wrapText="1" indent="1"/>
    </xf>
    <xf numFmtId="0" fontId="351" fillId="0" borderId="1" xfId="0" applyFont="1" applyBorder="1" applyAlignment="1">
      <alignment horizontal="left" vertical="center" wrapText="1" indent="1"/>
    </xf>
    <xf numFmtId="0" fontId="352" fillId="0" borderId="1" xfId="0" applyFont="1" applyBorder="1" applyAlignment="1">
      <alignment horizontal="left" vertical="center" wrapText="1" indent="1"/>
    </xf>
    <xf numFmtId="0" fontId="353" fillId="0" borderId="1" xfId="0" applyFont="1" applyBorder="1" applyAlignment="1">
      <alignment horizontal="left" vertical="center" wrapText="1" indent="1"/>
    </xf>
    <xf numFmtId="0" fontId="354" fillId="0" borderId="1" xfId="0" applyFont="1" applyBorder="1" applyAlignment="1">
      <alignment horizontal="left" vertical="center" wrapText="1" indent="1"/>
    </xf>
    <xf numFmtId="0" fontId="355" fillId="0" borderId="1" xfId="0" applyFont="1" applyBorder="1" applyAlignment="1">
      <alignment horizontal="left" vertical="center" wrapText="1" indent="1"/>
    </xf>
    <xf numFmtId="0" fontId="356" fillId="0" borderId="1" xfId="0" applyFont="1" applyBorder="1" applyAlignment="1">
      <alignment horizontal="left" vertical="center" wrapText="1" indent="1"/>
    </xf>
    <xf numFmtId="0" fontId="357" fillId="0" borderId="1" xfId="0" applyFont="1" applyBorder="1" applyAlignment="1">
      <alignment horizontal="left" vertical="center" wrapText="1" indent="1"/>
    </xf>
    <xf numFmtId="0" fontId="358" fillId="0" borderId="1" xfId="0" applyFont="1" applyBorder="1" applyAlignment="1">
      <alignment horizontal="left" vertical="center" wrapText="1" indent="1"/>
    </xf>
    <xf numFmtId="0" fontId="359" fillId="0" borderId="1" xfId="0" applyFont="1" applyBorder="1" applyAlignment="1">
      <alignment horizontal="left" vertical="center" wrapText="1" indent="1"/>
    </xf>
    <xf numFmtId="0" fontId="360" fillId="0" borderId="1" xfId="0" applyFont="1" applyBorder="1" applyAlignment="1">
      <alignment horizontal="left" vertical="center" wrapText="1" indent="1"/>
    </xf>
    <xf numFmtId="0" fontId="361" fillId="0" borderId="1" xfId="0" applyFont="1" applyBorder="1" applyAlignment="1">
      <alignment horizontal="left" vertical="center" wrapText="1" indent="1"/>
    </xf>
    <xf numFmtId="0" fontId="362" fillId="0" borderId="1" xfId="0" applyFont="1" applyBorder="1" applyAlignment="1">
      <alignment horizontal="left" vertical="center" wrapText="1" indent="1"/>
    </xf>
    <xf numFmtId="0" fontId="363" fillId="0" borderId="1" xfId="0" applyFont="1" applyBorder="1" applyAlignment="1">
      <alignment horizontal="left" vertical="center" wrapText="1" indent="1"/>
    </xf>
    <xf numFmtId="0" fontId="364" fillId="0" borderId="1" xfId="0" applyFont="1" applyBorder="1" applyAlignment="1">
      <alignment horizontal="left" vertical="center" wrapText="1" indent="1"/>
    </xf>
    <xf numFmtId="0" fontId="365" fillId="0" borderId="1" xfId="0" applyFont="1" applyBorder="1" applyAlignment="1">
      <alignment horizontal="left" vertical="center" wrapText="1" indent="1"/>
    </xf>
    <xf numFmtId="0" fontId="366" fillId="0" borderId="1" xfId="0" applyFont="1" applyBorder="1" applyAlignment="1">
      <alignment horizontal="left" vertical="center" wrapText="1" indent="1"/>
    </xf>
    <xf numFmtId="0" fontId="367" fillId="0" borderId="1" xfId="0" applyFont="1" applyBorder="1" applyAlignment="1">
      <alignment horizontal="left" vertical="center" wrapText="1" indent="1"/>
    </xf>
    <xf numFmtId="0" fontId="368" fillId="0" borderId="1" xfId="0" applyFont="1" applyBorder="1" applyAlignment="1">
      <alignment horizontal="left" vertical="center" wrapText="1" indent="1"/>
    </xf>
    <xf numFmtId="0" fontId="369" fillId="0" borderId="1" xfId="0" applyFont="1" applyBorder="1" applyAlignment="1">
      <alignment horizontal="left" vertical="center" wrapText="1" indent="1"/>
    </xf>
    <xf numFmtId="0" fontId="370" fillId="0" borderId="1" xfId="0" applyFont="1" applyBorder="1" applyAlignment="1">
      <alignment horizontal="left" vertical="center" wrapText="1" indent="1"/>
    </xf>
    <xf numFmtId="0" fontId="371" fillId="0" borderId="1" xfId="0" applyFont="1" applyBorder="1" applyAlignment="1">
      <alignment horizontal="left" vertical="center" wrapText="1" indent="1"/>
    </xf>
    <xf numFmtId="0" fontId="372" fillId="0" borderId="1" xfId="0" applyFont="1" applyBorder="1" applyAlignment="1">
      <alignment horizontal="left" vertical="center" wrapText="1" indent="1"/>
    </xf>
    <xf numFmtId="0" fontId="373" fillId="0" borderId="1" xfId="0" applyFont="1" applyBorder="1" applyAlignment="1">
      <alignment horizontal="left" vertical="center" wrapText="1" indent="1"/>
    </xf>
    <xf numFmtId="0" fontId="374" fillId="0" borderId="1" xfId="0" applyFont="1" applyBorder="1" applyAlignment="1">
      <alignment horizontal="left" vertical="center" wrapText="1" indent="1"/>
    </xf>
    <xf numFmtId="0" fontId="375" fillId="0" borderId="1" xfId="0" applyFont="1" applyBorder="1" applyAlignment="1">
      <alignment horizontal="left" vertical="center" wrapText="1" indent="1"/>
    </xf>
    <xf numFmtId="0" fontId="376" fillId="0" borderId="1" xfId="0" applyFont="1" applyBorder="1" applyAlignment="1">
      <alignment horizontal="left" vertical="center" wrapText="1" indent="1"/>
    </xf>
    <xf numFmtId="0" fontId="377" fillId="0" borderId="1" xfId="0" applyFont="1" applyBorder="1" applyAlignment="1">
      <alignment horizontal="left" vertical="center" wrapText="1" indent="1"/>
    </xf>
    <xf numFmtId="0" fontId="378" fillId="0" borderId="1" xfId="0" applyFont="1" applyBorder="1" applyAlignment="1">
      <alignment horizontal="left" vertical="center" wrapText="1" indent="1"/>
    </xf>
    <xf numFmtId="0" fontId="379" fillId="0" borderId="1" xfId="0" applyFont="1" applyBorder="1" applyAlignment="1">
      <alignment horizontal="left" vertical="center" wrapText="1" indent="1"/>
    </xf>
    <xf numFmtId="0" fontId="380" fillId="0" borderId="1" xfId="0" applyFont="1" applyBorder="1" applyAlignment="1">
      <alignment horizontal="left" vertical="center" wrapText="1" indent="1"/>
    </xf>
    <xf numFmtId="0" fontId="381" fillId="0" borderId="1" xfId="0" applyFont="1" applyBorder="1" applyAlignment="1">
      <alignment horizontal="left" vertical="center" wrapText="1" indent="1"/>
    </xf>
    <xf numFmtId="0" fontId="382" fillId="0" borderId="1" xfId="0" applyFont="1" applyBorder="1" applyAlignment="1">
      <alignment horizontal="left" vertical="center" wrapText="1" indent="1"/>
    </xf>
    <xf numFmtId="0" fontId="383" fillId="0" borderId="1" xfId="0" applyFont="1" applyBorder="1" applyAlignment="1">
      <alignment horizontal="left" vertical="center" wrapText="1" indent="1"/>
    </xf>
    <xf numFmtId="0" fontId="384" fillId="0" borderId="1" xfId="0" applyFont="1" applyBorder="1" applyAlignment="1">
      <alignment horizontal="left" vertical="center" wrapText="1" indent="1"/>
    </xf>
    <xf numFmtId="0" fontId="385" fillId="0" borderId="1" xfId="0" applyFont="1" applyBorder="1" applyAlignment="1">
      <alignment horizontal="left" vertical="center" wrapText="1" indent="1"/>
    </xf>
    <xf numFmtId="0" fontId="386" fillId="0" borderId="1" xfId="0" applyFont="1" applyBorder="1" applyAlignment="1">
      <alignment horizontal="left" vertical="center" wrapText="1" indent="1"/>
    </xf>
    <xf numFmtId="0" fontId="387" fillId="0" borderId="1" xfId="0" applyFont="1" applyBorder="1" applyAlignment="1">
      <alignment horizontal="left" vertical="center" wrapText="1" indent="1"/>
    </xf>
    <xf numFmtId="0" fontId="388" fillId="0" borderId="1" xfId="0" applyFont="1" applyBorder="1" applyAlignment="1">
      <alignment horizontal="left" vertical="center" wrapText="1" indent="1"/>
    </xf>
    <xf numFmtId="0" fontId="389" fillId="0" borderId="1" xfId="0" applyFont="1" applyBorder="1" applyAlignment="1">
      <alignment horizontal="left" vertical="center" wrapText="1" indent="1"/>
    </xf>
    <xf numFmtId="0" fontId="390" fillId="0" borderId="1" xfId="0" applyFont="1" applyBorder="1" applyAlignment="1">
      <alignment horizontal="left" vertical="center" wrapText="1" indent="1"/>
    </xf>
    <xf numFmtId="0" fontId="391" fillId="0" borderId="1" xfId="0" applyFont="1" applyBorder="1" applyAlignment="1">
      <alignment horizontal="left" vertical="center" wrapText="1" indent="1"/>
    </xf>
    <xf numFmtId="0" fontId="392" fillId="0" borderId="1" xfId="0" applyFont="1" applyBorder="1" applyAlignment="1">
      <alignment horizontal="left" vertical="center" wrapText="1" indent="1"/>
    </xf>
    <xf numFmtId="0" fontId="393" fillId="0" borderId="1" xfId="0" applyFont="1" applyBorder="1" applyAlignment="1">
      <alignment horizontal="left" vertical="center" wrapText="1" indent="1"/>
    </xf>
    <xf numFmtId="0" fontId="394" fillId="0" borderId="1" xfId="0" applyFont="1" applyBorder="1" applyAlignment="1">
      <alignment horizontal="left" vertical="center" wrapText="1" indent="1"/>
    </xf>
    <xf numFmtId="0" fontId="395" fillId="0" borderId="1" xfId="0" applyFont="1" applyBorder="1" applyAlignment="1">
      <alignment horizontal="left" vertical="center" wrapText="1" indent="1"/>
    </xf>
    <xf numFmtId="0" fontId="396" fillId="0" borderId="1" xfId="0" applyFont="1" applyBorder="1" applyAlignment="1">
      <alignment horizontal="left" vertical="center" wrapText="1" indent="1"/>
    </xf>
    <xf numFmtId="0" fontId="397" fillId="0" borderId="1" xfId="0" applyFont="1" applyBorder="1" applyAlignment="1">
      <alignment horizontal="left" vertical="center" wrapText="1" indent="1"/>
    </xf>
    <xf numFmtId="0" fontId="398" fillId="0" borderId="1" xfId="0" applyFont="1" applyBorder="1" applyAlignment="1">
      <alignment horizontal="left" vertical="center" wrapText="1" indent="1"/>
    </xf>
    <xf numFmtId="0" fontId="399" fillId="0" borderId="1" xfId="0" applyFont="1" applyBorder="1" applyAlignment="1">
      <alignment horizontal="left" vertical="center" wrapText="1" indent="1"/>
    </xf>
    <xf numFmtId="0" fontId="400" fillId="0" borderId="1" xfId="0" applyFont="1" applyBorder="1" applyAlignment="1">
      <alignment horizontal="left" vertical="center" wrapText="1" indent="1"/>
    </xf>
    <xf numFmtId="0" fontId="401" fillId="0" borderId="1" xfId="0" applyFont="1" applyBorder="1" applyAlignment="1">
      <alignment horizontal="left" vertical="center" wrapText="1" indent="1"/>
    </xf>
    <xf numFmtId="0" fontId="402" fillId="0" borderId="1" xfId="0" applyFont="1" applyBorder="1" applyAlignment="1">
      <alignment horizontal="left" vertical="center" wrapText="1" indent="1"/>
    </xf>
    <xf numFmtId="0" fontId="403" fillId="0" borderId="1" xfId="0" applyFont="1" applyBorder="1" applyAlignment="1">
      <alignment horizontal="left" vertical="center" wrapText="1" indent="1"/>
    </xf>
    <xf numFmtId="0" fontId="404" fillId="0" borderId="1" xfId="0" applyFont="1" applyBorder="1" applyAlignment="1">
      <alignment horizontal="left" vertical="center" wrapText="1" indent="1"/>
    </xf>
    <xf numFmtId="0" fontId="405" fillId="0" borderId="1" xfId="0" applyFont="1" applyBorder="1" applyAlignment="1">
      <alignment horizontal="left" vertical="center" wrapText="1" indent="1"/>
    </xf>
    <xf numFmtId="0" fontId="406" fillId="0" borderId="1" xfId="0" applyFont="1" applyBorder="1" applyAlignment="1">
      <alignment horizontal="left" vertical="center" wrapText="1" indent="1"/>
    </xf>
    <xf numFmtId="0" fontId="407" fillId="0" borderId="1" xfId="0" applyFont="1" applyBorder="1" applyAlignment="1">
      <alignment horizontal="left" vertical="center" wrapText="1" indent="1"/>
    </xf>
    <xf numFmtId="0" fontId="408" fillId="0" borderId="1" xfId="0" applyFont="1" applyBorder="1" applyAlignment="1">
      <alignment horizontal="left" vertical="center" wrapText="1" indent="1"/>
    </xf>
    <xf numFmtId="0" fontId="409" fillId="0" borderId="1" xfId="0" applyFont="1" applyBorder="1" applyAlignment="1">
      <alignment horizontal="left" vertical="center" wrapText="1" indent="1"/>
    </xf>
    <xf numFmtId="0" fontId="410" fillId="0" borderId="1" xfId="0" applyFont="1" applyBorder="1" applyAlignment="1">
      <alignment horizontal="left" vertical="center" wrapText="1" indent="1"/>
    </xf>
    <xf numFmtId="0" fontId="411" fillId="0" borderId="1" xfId="0" applyFont="1" applyBorder="1" applyAlignment="1">
      <alignment horizontal="left" vertical="center" wrapText="1" indent="1"/>
    </xf>
    <xf numFmtId="0" fontId="412" fillId="0" borderId="1" xfId="0" applyFont="1" applyBorder="1" applyAlignment="1">
      <alignment horizontal="left" vertical="center" wrapText="1" indent="1"/>
    </xf>
    <xf numFmtId="0" fontId="413" fillId="0" borderId="1" xfId="0" applyFont="1" applyBorder="1" applyAlignment="1">
      <alignment horizontal="left" vertical="center" wrapText="1" indent="1"/>
    </xf>
    <xf numFmtId="0" fontId="414" fillId="0" borderId="1" xfId="0" applyFont="1" applyBorder="1" applyAlignment="1">
      <alignment horizontal="left" vertical="center" wrapText="1" indent="1"/>
    </xf>
    <xf numFmtId="0" fontId="415" fillId="0" borderId="1" xfId="0" applyFont="1" applyBorder="1" applyAlignment="1">
      <alignment horizontal="left" vertical="center" wrapText="1" indent="1"/>
    </xf>
    <xf numFmtId="0" fontId="416" fillId="0" borderId="1" xfId="0" applyFont="1" applyBorder="1" applyAlignment="1">
      <alignment horizontal="left" vertical="center" wrapText="1" indent="1"/>
    </xf>
    <xf numFmtId="0" fontId="417" fillId="0" borderId="1" xfId="0" applyFont="1" applyBorder="1" applyAlignment="1">
      <alignment horizontal="left" vertical="center" wrapText="1" indent="1"/>
    </xf>
    <xf numFmtId="0" fontId="418" fillId="0" borderId="1" xfId="0" applyFont="1" applyBorder="1" applyAlignment="1">
      <alignment horizontal="left" vertical="center" wrapText="1" indent="1"/>
    </xf>
    <xf numFmtId="0" fontId="419" fillId="0" borderId="1" xfId="0" applyFont="1" applyBorder="1" applyAlignment="1">
      <alignment horizontal="left" vertical="center" wrapText="1" indent="1"/>
    </xf>
    <xf numFmtId="0" fontId="420" fillId="0" borderId="1" xfId="0" applyFont="1" applyBorder="1" applyAlignment="1">
      <alignment horizontal="left" vertical="center" wrapText="1" indent="1"/>
    </xf>
    <xf numFmtId="0" fontId="421" fillId="0" borderId="1" xfId="0" applyFont="1" applyBorder="1" applyAlignment="1">
      <alignment horizontal="left" vertical="center" wrapText="1" indent="1"/>
    </xf>
    <xf numFmtId="0" fontId="422" fillId="0" borderId="1" xfId="0" applyFont="1" applyBorder="1" applyAlignment="1">
      <alignment horizontal="left" vertical="center" wrapText="1" indent="1"/>
    </xf>
    <xf numFmtId="0" fontId="423" fillId="0" borderId="1" xfId="0" applyFont="1" applyBorder="1" applyAlignment="1">
      <alignment horizontal="left" vertical="center" wrapText="1" indent="1"/>
    </xf>
    <xf numFmtId="0" fontId="424" fillId="0" borderId="1" xfId="0" applyFont="1" applyBorder="1" applyAlignment="1">
      <alignment horizontal="left" vertical="center" wrapText="1" indent="1"/>
    </xf>
    <xf numFmtId="0" fontId="425" fillId="0" borderId="1" xfId="0" applyFont="1" applyBorder="1" applyAlignment="1">
      <alignment horizontal="left" vertical="center" wrapText="1" indent="1"/>
    </xf>
    <xf numFmtId="0" fontId="426" fillId="0" borderId="1" xfId="0" applyFont="1" applyBorder="1" applyAlignment="1">
      <alignment horizontal="left" vertical="center" wrapText="1" indent="1"/>
    </xf>
    <xf numFmtId="0" fontId="427" fillId="0" borderId="1" xfId="0" applyFont="1" applyBorder="1" applyAlignment="1">
      <alignment horizontal="left" vertical="center" wrapText="1" indent="1"/>
    </xf>
    <xf numFmtId="0" fontId="428" fillId="0" borderId="1" xfId="0" applyFont="1" applyBorder="1" applyAlignment="1">
      <alignment horizontal="left" vertical="center" wrapText="1" indent="1"/>
    </xf>
    <xf numFmtId="0" fontId="429" fillId="0" borderId="1" xfId="0" applyFont="1" applyBorder="1" applyAlignment="1">
      <alignment horizontal="left" vertical="center" wrapText="1" indent="1"/>
    </xf>
    <xf numFmtId="0" fontId="430" fillId="0" borderId="1" xfId="0" applyFont="1" applyBorder="1" applyAlignment="1">
      <alignment horizontal="left" vertical="center" wrapText="1" indent="1"/>
    </xf>
    <xf numFmtId="0" fontId="431" fillId="0" borderId="1" xfId="0" applyFont="1" applyBorder="1" applyAlignment="1">
      <alignment horizontal="left" vertical="center" wrapText="1" indent="1"/>
    </xf>
    <xf numFmtId="0" fontId="432" fillId="0" borderId="1" xfId="0" applyFont="1" applyBorder="1" applyAlignment="1">
      <alignment horizontal="left" vertical="center" wrapText="1" indent="1"/>
    </xf>
    <xf numFmtId="0" fontId="433" fillId="0" borderId="1" xfId="0" applyFont="1" applyBorder="1" applyAlignment="1">
      <alignment horizontal="left" vertical="center" wrapText="1" indent="1"/>
    </xf>
    <xf numFmtId="0" fontId="434" fillId="0" borderId="1" xfId="0" applyFont="1" applyBorder="1" applyAlignment="1">
      <alignment horizontal="left" vertical="center" wrapText="1" indent="1"/>
    </xf>
    <xf numFmtId="0" fontId="435" fillId="0" borderId="1" xfId="0" applyFont="1" applyBorder="1" applyAlignment="1">
      <alignment horizontal="left" vertical="center" wrapText="1" indent="1"/>
    </xf>
    <xf numFmtId="0" fontId="436" fillId="0" borderId="1" xfId="0" applyFont="1" applyBorder="1" applyAlignment="1">
      <alignment horizontal="left" vertical="center" wrapText="1" indent="1"/>
    </xf>
    <xf numFmtId="0" fontId="437" fillId="0" borderId="1" xfId="0" applyFont="1" applyBorder="1" applyAlignment="1">
      <alignment horizontal="left" vertical="center" wrapText="1" indent="1"/>
    </xf>
    <xf numFmtId="0" fontId="438" fillId="0" borderId="1" xfId="0" applyFont="1" applyBorder="1" applyAlignment="1">
      <alignment horizontal="left" vertical="center" wrapText="1" indent="1"/>
    </xf>
    <xf numFmtId="0" fontId="439" fillId="0" borderId="1" xfId="0" applyFont="1" applyBorder="1" applyAlignment="1">
      <alignment horizontal="left" vertical="center" wrapText="1" indent="1"/>
    </xf>
    <xf numFmtId="0" fontId="440" fillId="0" borderId="1" xfId="0" applyFont="1" applyBorder="1" applyAlignment="1">
      <alignment horizontal="left" vertical="center" wrapText="1" indent="1"/>
    </xf>
    <xf numFmtId="0" fontId="441" fillId="0" borderId="1" xfId="0" applyFont="1" applyBorder="1" applyAlignment="1">
      <alignment horizontal="left" vertical="center" wrapText="1" indent="1"/>
    </xf>
    <xf numFmtId="0" fontId="442" fillId="0" borderId="1" xfId="0" applyFont="1" applyBorder="1" applyAlignment="1">
      <alignment horizontal="left" vertical="center" wrapText="1" indent="1"/>
    </xf>
    <xf numFmtId="0" fontId="443" fillId="0" borderId="1" xfId="0" applyFont="1" applyBorder="1" applyAlignment="1">
      <alignment horizontal="left" vertical="center" wrapText="1" indent="1"/>
    </xf>
    <xf numFmtId="0" fontId="444" fillId="0" borderId="1" xfId="0" applyFont="1" applyBorder="1" applyAlignment="1">
      <alignment horizontal="left" vertical="center" wrapText="1" indent="1"/>
    </xf>
    <xf numFmtId="0" fontId="445" fillId="0" borderId="1" xfId="0" applyFont="1" applyBorder="1" applyAlignment="1">
      <alignment horizontal="left" vertical="center" wrapText="1" indent="1"/>
    </xf>
    <xf numFmtId="0" fontId="446" fillId="0" borderId="1" xfId="0" applyFont="1" applyBorder="1" applyAlignment="1">
      <alignment horizontal="left" vertical="center" wrapText="1" indent="1"/>
    </xf>
    <xf numFmtId="0" fontId="447" fillId="0" borderId="1" xfId="0" applyFont="1" applyBorder="1" applyAlignment="1">
      <alignment horizontal="left" vertical="center" wrapText="1" indent="1"/>
    </xf>
    <xf numFmtId="0" fontId="448" fillId="0" borderId="1" xfId="0" applyFont="1" applyBorder="1" applyAlignment="1">
      <alignment horizontal="left" vertical="center" wrapText="1" indent="1"/>
    </xf>
    <xf numFmtId="0" fontId="449" fillId="0" borderId="1" xfId="0" applyFont="1" applyBorder="1" applyAlignment="1">
      <alignment horizontal="left" vertical="center" wrapText="1" indent="1"/>
    </xf>
    <xf numFmtId="0" fontId="450" fillId="0" borderId="1" xfId="0" applyFont="1" applyBorder="1" applyAlignment="1">
      <alignment horizontal="left" vertical="center" wrapText="1" indent="1"/>
    </xf>
    <xf numFmtId="0" fontId="451" fillId="0" borderId="1" xfId="0" applyFont="1" applyBorder="1" applyAlignment="1">
      <alignment horizontal="left" vertical="center" wrapText="1" indent="1"/>
    </xf>
    <xf numFmtId="0" fontId="452" fillId="0" borderId="1" xfId="0" applyFont="1" applyBorder="1" applyAlignment="1">
      <alignment horizontal="left" vertical="center" wrapText="1" indent="1"/>
    </xf>
    <xf numFmtId="0" fontId="453" fillId="0" borderId="1" xfId="0" applyFont="1" applyBorder="1" applyAlignment="1">
      <alignment horizontal="left" vertical="center" wrapText="1" indent="1"/>
    </xf>
    <xf numFmtId="0" fontId="454" fillId="0" borderId="1" xfId="0" applyFont="1" applyBorder="1" applyAlignment="1">
      <alignment horizontal="left" vertical="center" wrapText="1" indent="1"/>
    </xf>
    <xf numFmtId="0" fontId="455" fillId="0" borderId="1" xfId="0" applyFont="1" applyBorder="1" applyAlignment="1">
      <alignment horizontal="left" vertical="center" wrapText="1" indent="1"/>
    </xf>
    <xf numFmtId="0" fontId="456" fillId="0" borderId="1" xfId="0" applyFont="1" applyBorder="1" applyAlignment="1">
      <alignment horizontal="left" vertical="center" wrapText="1" indent="1"/>
    </xf>
    <xf numFmtId="0" fontId="457" fillId="0" borderId="1" xfId="0" applyFont="1" applyBorder="1" applyAlignment="1">
      <alignment horizontal="left" vertical="center" wrapText="1" indent="1"/>
    </xf>
    <xf numFmtId="0" fontId="458" fillId="0" borderId="1" xfId="0" applyFont="1" applyBorder="1" applyAlignment="1">
      <alignment horizontal="left" vertical="center" wrapText="1" indent="1"/>
    </xf>
    <xf numFmtId="0" fontId="459" fillId="0" borderId="1" xfId="0" applyFont="1" applyBorder="1" applyAlignment="1">
      <alignment horizontal="left" vertical="center" wrapText="1" indent="1"/>
    </xf>
    <xf numFmtId="0" fontId="460" fillId="0" borderId="1" xfId="0" applyFont="1" applyBorder="1" applyAlignment="1">
      <alignment horizontal="left" vertical="center" wrapText="1" indent="1"/>
    </xf>
    <xf numFmtId="0" fontId="461" fillId="0" borderId="1" xfId="0" applyFont="1" applyBorder="1" applyAlignment="1">
      <alignment horizontal="left" vertical="center" wrapText="1" indent="1"/>
    </xf>
    <xf numFmtId="0" fontId="462" fillId="0" borderId="1" xfId="0" applyFont="1" applyBorder="1" applyAlignment="1">
      <alignment horizontal="left" vertical="center" wrapText="1" indent="1"/>
    </xf>
    <xf numFmtId="0" fontId="463" fillId="0" borderId="1" xfId="0" applyFont="1" applyBorder="1" applyAlignment="1">
      <alignment horizontal="left" vertical="center" wrapText="1" indent="1"/>
    </xf>
    <xf numFmtId="0" fontId="464" fillId="0" borderId="1" xfId="0" applyFont="1" applyBorder="1" applyAlignment="1">
      <alignment horizontal="left" vertical="center" wrapText="1" indent="1"/>
    </xf>
    <xf numFmtId="0" fontId="465" fillId="0" borderId="1" xfId="0" applyFont="1" applyBorder="1" applyAlignment="1">
      <alignment horizontal="left" vertical="center" wrapText="1" indent="1"/>
    </xf>
    <xf numFmtId="0" fontId="466" fillId="0" borderId="1" xfId="0" applyFont="1" applyBorder="1" applyAlignment="1">
      <alignment horizontal="left" vertical="center" wrapText="1" indent="1"/>
    </xf>
    <xf numFmtId="0" fontId="467" fillId="0" borderId="1" xfId="0" applyFont="1" applyBorder="1" applyAlignment="1">
      <alignment horizontal="left" vertical="center" wrapText="1" indent="1"/>
    </xf>
    <xf numFmtId="0" fontId="468" fillId="0" borderId="1" xfId="0" applyFont="1" applyBorder="1" applyAlignment="1">
      <alignment horizontal="left" vertical="center" wrapText="1" indent="1"/>
    </xf>
    <xf numFmtId="0" fontId="469" fillId="0" borderId="1" xfId="0" applyFont="1" applyBorder="1" applyAlignment="1">
      <alignment horizontal="left" vertical="center" wrapText="1" indent="1"/>
    </xf>
    <xf numFmtId="0" fontId="470" fillId="0" borderId="1" xfId="0" applyFont="1" applyBorder="1" applyAlignment="1">
      <alignment horizontal="left" vertical="center" wrapText="1" indent="1"/>
    </xf>
    <xf numFmtId="0" fontId="471" fillId="0" borderId="1" xfId="0" applyFont="1" applyBorder="1" applyAlignment="1">
      <alignment horizontal="left" vertical="center" wrapText="1" indent="1"/>
    </xf>
    <xf numFmtId="0" fontId="472" fillId="0" borderId="1" xfId="0" applyFont="1" applyBorder="1" applyAlignment="1">
      <alignment horizontal="left" vertical="center" wrapText="1" indent="1"/>
    </xf>
    <xf numFmtId="0" fontId="473" fillId="0" borderId="1" xfId="0" applyFont="1" applyBorder="1" applyAlignment="1">
      <alignment horizontal="left" vertical="center" wrapText="1" indent="1"/>
    </xf>
    <xf numFmtId="0" fontId="474" fillId="0" borderId="1" xfId="0" applyFont="1" applyBorder="1" applyAlignment="1">
      <alignment horizontal="left" vertical="center" wrapText="1" indent="1"/>
    </xf>
    <xf numFmtId="0" fontId="475" fillId="0" borderId="1" xfId="0" applyFont="1" applyBorder="1" applyAlignment="1">
      <alignment horizontal="left" vertical="center" wrapText="1" indent="1"/>
    </xf>
    <xf numFmtId="0" fontId="476" fillId="0" borderId="1" xfId="0" applyFont="1" applyBorder="1" applyAlignment="1">
      <alignment horizontal="left" vertical="center" wrapText="1" indent="1"/>
    </xf>
    <xf numFmtId="0" fontId="477" fillId="0" borderId="1" xfId="0" applyFont="1" applyBorder="1" applyAlignment="1">
      <alignment horizontal="left" vertical="center" wrapText="1" indent="1"/>
    </xf>
    <xf numFmtId="0" fontId="478" fillId="0" borderId="1" xfId="0" applyFont="1" applyBorder="1" applyAlignment="1">
      <alignment horizontal="left" vertical="center" wrapText="1" indent="1"/>
    </xf>
    <xf numFmtId="0" fontId="479" fillId="0" borderId="1" xfId="0" applyFont="1" applyBorder="1" applyAlignment="1">
      <alignment horizontal="left" vertical="center" wrapText="1" indent="1"/>
    </xf>
    <xf numFmtId="0" fontId="480" fillId="0" borderId="1" xfId="0" applyFont="1" applyBorder="1" applyAlignment="1">
      <alignment horizontal="left" vertical="center" wrapText="1" indent="1"/>
    </xf>
    <xf numFmtId="0" fontId="481" fillId="0" borderId="1" xfId="0" applyFont="1" applyBorder="1" applyAlignment="1">
      <alignment horizontal="left" vertical="center" wrapText="1" indent="1"/>
    </xf>
    <xf numFmtId="0" fontId="482" fillId="0" borderId="1" xfId="0" applyFont="1" applyBorder="1" applyAlignment="1">
      <alignment horizontal="left" vertical="center" wrapText="1" indent="1"/>
    </xf>
    <xf numFmtId="0" fontId="483" fillId="0" borderId="1" xfId="0" applyFont="1" applyBorder="1" applyAlignment="1">
      <alignment horizontal="left" vertical="center" wrapText="1" indent="1"/>
    </xf>
    <xf numFmtId="0" fontId="484" fillId="0" borderId="1" xfId="0" applyFont="1" applyBorder="1" applyAlignment="1">
      <alignment horizontal="left" vertical="center" wrapText="1" indent="1"/>
    </xf>
    <xf numFmtId="0" fontId="485" fillId="0" borderId="1" xfId="0" applyFont="1" applyBorder="1" applyAlignment="1">
      <alignment horizontal="left" vertical="center" wrapText="1" indent="1"/>
    </xf>
    <xf numFmtId="0" fontId="486" fillId="0" borderId="1" xfId="0" applyFont="1" applyBorder="1" applyAlignment="1">
      <alignment horizontal="left" vertical="center" wrapText="1" indent="1"/>
    </xf>
    <xf numFmtId="0" fontId="487" fillId="0" borderId="1" xfId="0" applyFont="1" applyBorder="1" applyAlignment="1">
      <alignment horizontal="left" vertical="center" wrapText="1" indent="1"/>
    </xf>
    <xf numFmtId="0" fontId="488" fillId="0" borderId="1" xfId="0" applyFont="1" applyBorder="1" applyAlignment="1">
      <alignment horizontal="left" vertical="center" wrapText="1" indent="1"/>
    </xf>
    <xf numFmtId="0" fontId="489" fillId="0" borderId="1" xfId="0" applyFont="1" applyBorder="1" applyAlignment="1">
      <alignment horizontal="left" vertical="center" wrapText="1" indent="1"/>
    </xf>
    <xf numFmtId="0" fontId="490" fillId="0" borderId="1" xfId="0" applyFont="1" applyBorder="1" applyAlignment="1">
      <alignment horizontal="left" vertical="center" wrapText="1" indent="1"/>
    </xf>
    <xf numFmtId="0" fontId="491" fillId="0" borderId="1" xfId="0" applyFont="1" applyBorder="1" applyAlignment="1">
      <alignment horizontal="left" vertical="center" wrapText="1" indent="1"/>
    </xf>
    <xf numFmtId="0" fontId="492" fillId="0" borderId="1" xfId="0" applyFont="1" applyBorder="1" applyAlignment="1">
      <alignment horizontal="left" vertical="center" wrapText="1" indent="1"/>
    </xf>
    <xf numFmtId="0" fontId="493" fillId="0" borderId="1" xfId="0" applyFont="1" applyBorder="1" applyAlignment="1">
      <alignment horizontal="left" vertical="center" wrapText="1" indent="1"/>
    </xf>
    <xf numFmtId="0" fontId="494" fillId="0" borderId="1" xfId="0" applyFont="1" applyBorder="1" applyAlignment="1">
      <alignment horizontal="left" vertical="center" wrapText="1" indent="1"/>
    </xf>
    <xf numFmtId="0" fontId="495" fillId="0" borderId="1" xfId="0" applyFont="1" applyBorder="1" applyAlignment="1">
      <alignment horizontal="left" vertical="center" wrapText="1" indent="1"/>
    </xf>
    <xf numFmtId="0" fontId="496" fillId="0" borderId="1" xfId="0" applyFont="1" applyBorder="1" applyAlignment="1">
      <alignment horizontal="left" vertical="center" wrapText="1" indent="1"/>
    </xf>
    <xf numFmtId="0" fontId="497" fillId="0" borderId="1" xfId="0" applyFont="1" applyBorder="1" applyAlignment="1">
      <alignment horizontal="left" vertical="center" wrapText="1" indent="1"/>
    </xf>
    <xf numFmtId="0" fontId="498" fillId="0" borderId="1" xfId="0" applyFont="1" applyBorder="1" applyAlignment="1">
      <alignment horizontal="left" vertical="center" wrapText="1" indent="1"/>
    </xf>
    <xf numFmtId="0" fontId="499" fillId="0" borderId="1" xfId="0" applyFont="1" applyBorder="1" applyAlignment="1">
      <alignment horizontal="left" vertical="center" wrapText="1" indent="1"/>
    </xf>
    <xf numFmtId="0" fontId="500" fillId="0" borderId="1" xfId="0" applyFont="1" applyBorder="1" applyAlignment="1">
      <alignment horizontal="left" vertical="center" wrapText="1" indent="1"/>
    </xf>
    <xf numFmtId="0" fontId="501" fillId="0" borderId="1" xfId="0" applyFont="1" applyBorder="1" applyAlignment="1">
      <alignment horizontal="left" vertical="center" wrapText="1" indent="1"/>
    </xf>
    <xf numFmtId="0" fontId="502" fillId="0" borderId="1" xfId="0" applyFont="1" applyBorder="1" applyAlignment="1">
      <alignment horizontal="left" vertical="center" wrapText="1" indent="1"/>
    </xf>
    <xf numFmtId="0" fontId="503" fillId="0" borderId="1" xfId="0" applyFont="1" applyBorder="1" applyAlignment="1">
      <alignment horizontal="left" vertical="center" wrapText="1" indent="1"/>
    </xf>
    <xf numFmtId="0" fontId="504" fillId="0" borderId="1" xfId="0" applyFont="1" applyBorder="1" applyAlignment="1">
      <alignment horizontal="left" vertical="center" wrapText="1" indent="1"/>
    </xf>
    <xf numFmtId="0" fontId="505" fillId="0" borderId="1" xfId="0" applyFont="1" applyBorder="1" applyAlignment="1">
      <alignment horizontal="left" vertical="center" wrapText="1" indent="1"/>
    </xf>
    <xf numFmtId="0" fontId="506" fillId="0" borderId="1" xfId="0" applyFont="1" applyBorder="1" applyAlignment="1">
      <alignment horizontal="left" vertical="center" wrapText="1" indent="1"/>
    </xf>
    <xf numFmtId="0" fontId="507" fillId="0" borderId="1" xfId="0" applyFont="1" applyBorder="1" applyAlignment="1">
      <alignment horizontal="left" vertical="center" wrapText="1" indent="1"/>
    </xf>
    <xf numFmtId="0" fontId="508" fillId="0" borderId="1" xfId="0" applyFont="1" applyBorder="1" applyAlignment="1">
      <alignment horizontal="left" vertical="center" wrapText="1" indent="1"/>
    </xf>
    <xf numFmtId="0" fontId="509" fillId="0" borderId="1" xfId="0" applyFont="1" applyBorder="1" applyAlignment="1">
      <alignment horizontal="left" vertical="center" wrapText="1" indent="1"/>
    </xf>
    <xf numFmtId="0" fontId="510" fillId="0" borderId="1" xfId="0" applyFont="1" applyBorder="1" applyAlignment="1">
      <alignment horizontal="left" vertical="center" wrapText="1" indent="1"/>
    </xf>
    <xf numFmtId="0" fontId="511" fillId="0" borderId="1" xfId="0" applyFont="1" applyBorder="1" applyAlignment="1">
      <alignment horizontal="left" vertical="center" wrapText="1" indent="1"/>
    </xf>
    <xf numFmtId="0" fontId="512" fillId="0" borderId="1" xfId="0" applyFont="1" applyBorder="1" applyAlignment="1">
      <alignment horizontal="left" vertical="center" wrapText="1" indent="1"/>
    </xf>
    <xf numFmtId="0" fontId="513" fillId="0" borderId="1" xfId="0" applyFont="1" applyBorder="1" applyAlignment="1">
      <alignment horizontal="left" vertical="center" wrapText="1" indent="1"/>
    </xf>
    <xf numFmtId="0" fontId="514" fillId="0" borderId="1" xfId="0" applyFont="1" applyBorder="1" applyAlignment="1">
      <alignment horizontal="left" vertical="center" wrapText="1" indent="1"/>
    </xf>
    <xf numFmtId="0" fontId="515" fillId="0" borderId="1" xfId="0" applyFont="1" applyBorder="1" applyAlignment="1">
      <alignment horizontal="left" vertical="center" wrapText="1" indent="1"/>
    </xf>
    <xf numFmtId="0" fontId="516" fillId="0" borderId="1" xfId="0" applyFont="1" applyBorder="1" applyAlignment="1">
      <alignment horizontal="left" vertical="center" wrapText="1" indent="1"/>
    </xf>
    <xf numFmtId="0" fontId="517" fillId="0" borderId="1" xfId="0" applyFont="1" applyBorder="1" applyAlignment="1">
      <alignment horizontal="left" vertical="center" wrapText="1" indent="1"/>
    </xf>
    <xf numFmtId="0" fontId="518" fillId="0" borderId="1" xfId="0" applyFont="1" applyBorder="1" applyAlignment="1">
      <alignment horizontal="left" vertical="center" wrapText="1" indent="1"/>
    </xf>
    <xf numFmtId="0" fontId="519" fillId="0" borderId="1" xfId="0" applyFont="1" applyBorder="1" applyAlignment="1">
      <alignment horizontal="left" vertical="center" wrapText="1" indent="1"/>
    </xf>
    <xf numFmtId="0" fontId="520" fillId="0" borderId="1" xfId="0" applyFont="1" applyBorder="1" applyAlignment="1">
      <alignment horizontal="left" vertical="center" wrapText="1" indent="1"/>
    </xf>
    <xf numFmtId="0" fontId="521" fillId="0" borderId="1" xfId="0" applyFont="1" applyBorder="1" applyAlignment="1">
      <alignment horizontal="left" vertical="center" wrapText="1" indent="1"/>
    </xf>
    <xf numFmtId="0" fontId="522" fillId="0" borderId="1" xfId="0" applyFont="1" applyBorder="1" applyAlignment="1">
      <alignment horizontal="left" vertical="center" wrapText="1" indent="1"/>
    </xf>
    <xf numFmtId="0" fontId="523" fillId="0" borderId="1" xfId="0" applyFont="1" applyBorder="1" applyAlignment="1">
      <alignment horizontal="left" vertical="center" wrapText="1" indent="1"/>
    </xf>
    <xf numFmtId="0" fontId="524" fillId="0" borderId="1" xfId="0" applyFont="1" applyBorder="1" applyAlignment="1">
      <alignment horizontal="left" vertical="center" wrapText="1" indent="1"/>
    </xf>
    <xf numFmtId="0" fontId="525" fillId="0" borderId="1" xfId="0" applyFont="1" applyBorder="1" applyAlignment="1">
      <alignment horizontal="left" vertical="center" wrapText="1" indent="1"/>
    </xf>
    <xf numFmtId="0" fontId="526" fillId="0" borderId="1" xfId="0" applyFont="1" applyBorder="1" applyAlignment="1">
      <alignment horizontal="left" vertical="center" wrapText="1" indent="1"/>
    </xf>
    <xf numFmtId="0" fontId="527" fillId="0" borderId="1" xfId="0" applyFont="1" applyBorder="1" applyAlignment="1">
      <alignment horizontal="left" vertical="center" wrapText="1" indent="1"/>
    </xf>
    <xf numFmtId="0" fontId="528" fillId="0" borderId="1" xfId="0" applyFont="1" applyBorder="1" applyAlignment="1">
      <alignment horizontal="left" vertical="center" wrapText="1" indent="1"/>
    </xf>
    <xf numFmtId="0" fontId="529" fillId="0" borderId="1" xfId="0" applyFont="1" applyBorder="1" applyAlignment="1">
      <alignment horizontal="left" vertical="center" wrapText="1" indent="1"/>
    </xf>
    <xf numFmtId="0" fontId="530" fillId="0" borderId="1" xfId="0" applyFont="1" applyBorder="1" applyAlignment="1">
      <alignment horizontal="left" vertical="center" wrapText="1" indent="1"/>
    </xf>
    <xf numFmtId="0" fontId="531" fillId="0" borderId="1" xfId="0" applyFont="1" applyBorder="1" applyAlignment="1">
      <alignment horizontal="left" vertical="center" wrapText="1" indent="1"/>
    </xf>
    <xf numFmtId="0" fontId="532" fillId="0" borderId="1" xfId="0" applyFont="1" applyBorder="1" applyAlignment="1">
      <alignment horizontal="left" vertical="center" wrapText="1" indent="1"/>
    </xf>
    <xf numFmtId="0" fontId="533" fillId="0" borderId="1" xfId="0" applyFont="1" applyBorder="1" applyAlignment="1">
      <alignment horizontal="left" vertical="center" wrapText="1" indent="1"/>
    </xf>
    <xf numFmtId="0" fontId="534" fillId="0" borderId="1" xfId="0" applyFont="1" applyBorder="1" applyAlignment="1">
      <alignment horizontal="left" vertical="center" wrapText="1" indent="1"/>
    </xf>
    <xf numFmtId="0" fontId="535" fillId="0" borderId="1" xfId="0" applyFont="1" applyBorder="1" applyAlignment="1">
      <alignment horizontal="left" vertical="center" wrapText="1" indent="1"/>
    </xf>
    <xf numFmtId="0" fontId="536" fillId="0" borderId="1" xfId="0" applyFont="1" applyBorder="1" applyAlignment="1">
      <alignment horizontal="left" vertical="center" wrapText="1" indent="1"/>
    </xf>
    <xf numFmtId="0" fontId="537" fillId="0" borderId="1" xfId="0" applyFont="1" applyBorder="1" applyAlignment="1">
      <alignment horizontal="left" vertical="center" wrapText="1" indent="1"/>
    </xf>
    <xf numFmtId="0" fontId="538" fillId="0" borderId="1" xfId="0" applyFont="1" applyBorder="1" applyAlignment="1">
      <alignment horizontal="left" vertical="center" wrapText="1" indent="1"/>
    </xf>
    <xf numFmtId="0" fontId="539" fillId="0" borderId="1" xfId="0" applyFont="1" applyBorder="1" applyAlignment="1">
      <alignment horizontal="left" vertical="center" wrapText="1" indent="1"/>
    </xf>
    <xf numFmtId="0" fontId="540" fillId="0" borderId="1" xfId="0" applyFont="1" applyBorder="1" applyAlignment="1">
      <alignment horizontal="left" vertical="center" wrapText="1" indent="1"/>
    </xf>
    <xf numFmtId="0" fontId="541" fillId="0" borderId="1" xfId="0" applyFont="1" applyBorder="1" applyAlignment="1">
      <alignment horizontal="left" vertical="center" wrapText="1" indent="1"/>
    </xf>
    <xf numFmtId="0" fontId="542" fillId="0" borderId="1" xfId="0" applyFont="1" applyBorder="1" applyAlignment="1">
      <alignment horizontal="left" vertical="center" wrapText="1" indent="1"/>
    </xf>
    <xf numFmtId="0" fontId="543" fillId="0" borderId="1" xfId="0" applyFont="1" applyBorder="1" applyAlignment="1">
      <alignment horizontal="left" vertical="center" wrapText="1" indent="1"/>
    </xf>
    <xf numFmtId="0" fontId="544" fillId="0" borderId="1" xfId="0" applyFont="1" applyBorder="1" applyAlignment="1">
      <alignment horizontal="left" vertical="center" wrapText="1" indent="1"/>
    </xf>
    <xf numFmtId="0" fontId="545" fillId="0" borderId="1" xfId="0" applyFont="1" applyBorder="1" applyAlignment="1">
      <alignment horizontal="left" vertical="center" wrapText="1" indent="1"/>
    </xf>
    <xf numFmtId="0" fontId="546" fillId="0" borderId="1" xfId="0" applyFont="1" applyBorder="1" applyAlignment="1">
      <alignment horizontal="left" vertical="center" wrapText="1" indent="1"/>
    </xf>
    <xf numFmtId="0" fontId="547" fillId="0" borderId="1" xfId="0" applyFont="1" applyBorder="1" applyAlignment="1">
      <alignment horizontal="left" vertical="center" wrapText="1" indent="1"/>
    </xf>
    <xf numFmtId="0" fontId="548" fillId="0" borderId="1" xfId="0" applyFont="1" applyBorder="1" applyAlignment="1">
      <alignment horizontal="left" vertical="center" wrapText="1" indent="1"/>
    </xf>
    <xf numFmtId="0" fontId="549" fillId="0" borderId="1" xfId="0" applyFont="1" applyBorder="1" applyAlignment="1">
      <alignment horizontal="left" vertical="center" wrapText="1" indent="1"/>
    </xf>
    <xf numFmtId="0" fontId="550" fillId="0" borderId="1" xfId="0" applyFont="1" applyBorder="1" applyAlignment="1">
      <alignment horizontal="left" vertical="center" wrapText="1" indent="1"/>
    </xf>
    <xf numFmtId="0" fontId="551" fillId="0" borderId="1" xfId="0" applyFont="1" applyBorder="1" applyAlignment="1">
      <alignment horizontal="left" vertical="center" wrapText="1" indent="1"/>
    </xf>
    <xf numFmtId="0" fontId="552" fillId="0" borderId="1" xfId="0" applyFont="1" applyBorder="1" applyAlignment="1">
      <alignment horizontal="left" vertical="center" wrapText="1" indent="1"/>
    </xf>
    <xf numFmtId="0" fontId="553" fillId="0" borderId="1" xfId="0" applyFont="1" applyBorder="1" applyAlignment="1">
      <alignment horizontal="left" vertical="center" wrapText="1" indent="1"/>
    </xf>
    <xf numFmtId="0" fontId="554" fillId="0" borderId="1" xfId="0" applyFont="1" applyBorder="1" applyAlignment="1">
      <alignment horizontal="left" vertical="center" wrapText="1" indent="1"/>
    </xf>
    <xf numFmtId="0" fontId="555" fillId="0" borderId="1" xfId="0" applyFont="1" applyBorder="1" applyAlignment="1">
      <alignment horizontal="left" vertical="center" wrapText="1" indent="1"/>
    </xf>
    <xf numFmtId="0" fontId="556" fillId="0" borderId="1" xfId="0" applyFont="1" applyBorder="1" applyAlignment="1">
      <alignment horizontal="left" vertical="center" wrapText="1" indent="1"/>
    </xf>
    <xf numFmtId="0" fontId="557" fillId="0" borderId="1" xfId="0" applyFont="1" applyBorder="1" applyAlignment="1">
      <alignment horizontal="left" vertical="center" wrapText="1" indent="1"/>
    </xf>
    <xf numFmtId="0" fontId="558" fillId="0" borderId="1" xfId="0" applyFont="1" applyBorder="1" applyAlignment="1">
      <alignment horizontal="left" vertical="center" wrapText="1" indent="1"/>
    </xf>
    <xf numFmtId="0" fontId="559" fillId="0" borderId="1" xfId="0" applyFont="1" applyBorder="1" applyAlignment="1">
      <alignment horizontal="left" vertical="center" wrapText="1" indent="1"/>
    </xf>
    <xf numFmtId="0" fontId="560" fillId="0" borderId="1" xfId="0" applyFont="1" applyBorder="1" applyAlignment="1">
      <alignment horizontal="left" vertical="center" wrapText="1" indent="1"/>
    </xf>
    <xf numFmtId="0" fontId="561" fillId="0" borderId="1" xfId="0" applyFont="1" applyBorder="1" applyAlignment="1">
      <alignment horizontal="left" vertical="center" wrapText="1" indent="1"/>
    </xf>
    <xf numFmtId="0" fontId="562" fillId="0" borderId="1" xfId="0" applyFont="1" applyBorder="1" applyAlignment="1">
      <alignment horizontal="left" vertical="center" wrapText="1" indent="1"/>
    </xf>
    <xf numFmtId="0" fontId="563" fillId="0" borderId="1" xfId="0" applyFont="1" applyBorder="1" applyAlignment="1">
      <alignment horizontal="left" vertical="center" wrapText="1" indent="1"/>
    </xf>
    <xf numFmtId="0" fontId="564" fillId="0" borderId="1" xfId="0" applyFont="1" applyBorder="1" applyAlignment="1">
      <alignment horizontal="left" vertical="center" wrapText="1" indent="1"/>
    </xf>
    <xf numFmtId="0" fontId="565" fillId="0" borderId="1" xfId="0" applyFont="1" applyBorder="1" applyAlignment="1">
      <alignment horizontal="left" vertical="center" wrapText="1" indent="1"/>
    </xf>
    <xf numFmtId="0" fontId="566" fillId="0" borderId="1" xfId="0" applyFont="1" applyBorder="1" applyAlignment="1">
      <alignment horizontal="left" vertical="center" wrapText="1" indent="1"/>
    </xf>
    <xf numFmtId="0" fontId="567" fillId="0" borderId="1" xfId="0" applyFont="1" applyBorder="1" applyAlignment="1">
      <alignment horizontal="left" vertical="center" wrapText="1" indent="1"/>
    </xf>
    <xf numFmtId="0" fontId="568" fillId="0" borderId="1" xfId="0" applyFont="1" applyBorder="1" applyAlignment="1">
      <alignment horizontal="left" vertical="center" wrapText="1" indent="1"/>
    </xf>
    <xf numFmtId="0" fontId="569" fillId="0" borderId="1" xfId="0" applyFont="1" applyBorder="1" applyAlignment="1">
      <alignment horizontal="left" vertical="center" wrapText="1" indent="1"/>
    </xf>
    <xf numFmtId="0" fontId="570" fillId="0" borderId="1" xfId="0" applyFont="1" applyBorder="1" applyAlignment="1">
      <alignment horizontal="left" vertical="center" wrapText="1" indent="1"/>
    </xf>
    <xf numFmtId="0" fontId="571" fillId="0" borderId="1" xfId="0" applyFont="1" applyBorder="1" applyAlignment="1">
      <alignment horizontal="left" vertical="center" wrapText="1" indent="1"/>
    </xf>
    <xf numFmtId="0" fontId="572" fillId="0" borderId="1" xfId="0" applyFont="1" applyBorder="1" applyAlignment="1">
      <alignment horizontal="left" vertical="center" wrapText="1" indent="1"/>
    </xf>
    <xf numFmtId="0" fontId="573" fillId="0" borderId="1" xfId="0" applyFont="1" applyBorder="1" applyAlignment="1">
      <alignment horizontal="left" vertical="center" wrapText="1" indent="1"/>
    </xf>
    <xf numFmtId="0" fontId="574" fillId="0" borderId="1" xfId="0" applyFont="1" applyBorder="1" applyAlignment="1">
      <alignment horizontal="left" vertical="center" wrapText="1" indent="1"/>
    </xf>
    <xf numFmtId="0" fontId="575" fillId="0" borderId="1" xfId="0" applyFont="1" applyBorder="1" applyAlignment="1">
      <alignment horizontal="left" vertical="center" wrapText="1" indent="1"/>
    </xf>
    <xf numFmtId="0" fontId="576" fillId="0" borderId="1" xfId="0" applyFont="1" applyBorder="1" applyAlignment="1">
      <alignment horizontal="left" vertical="center" wrapText="1" indent="1"/>
    </xf>
    <xf numFmtId="0" fontId="577" fillId="0" borderId="1" xfId="0" applyFont="1" applyBorder="1" applyAlignment="1">
      <alignment horizontal="left" vertical="center" wrapText="1" indent="1"/>
    </xf>
    <xf numFmtId="0" fontId="578" fillId="0" borderId="1" xfId="0" applyFont="1" applyBorder="1" applyAlignment="1">
      <alignment horizontal="left" vertical="center" wrapText="1" indent="1"/>
    </xf>
    <xf numFmtId="0" fontId="579" fillId="0" borderId="1" xfId="0" applyFont="1" applyBorder="1" applyAlignment="1">
      <alignment horizontal="left" vertical="center" wrapText="1" indent="1"/>
    </xf>
    <xf numFmtId="0" fontId="580" fillId="0" borderId="1" xfId="0" applyFont="1" applyBorder="1" applyAlignment="1">
      <alignment horizontal="left" vertical="center" wrapText="1" indent="1"/>
    </xf>
    <xf numFmtId="0" fontId="581" fillId="0" borderId="1" xfId="0" applyFont="1" applyBorder="1" applyAlignment="1">
      <alignment horizontal="left" vertical="center" wrapText="1" indent="1"/>
    </xf>
    <xf numFmtId="0" fontId="582" fillId="0" borderId="1" xfId="0" applyFont="1" applyBorder="1" applyAlignment="1">
      <alignment horizontal="left" vertical="center" wrapText="1" indent="1"/>
    </xf>
    <xf numFmtId="0" fontId="583" fillId="0" borderId="1" xfId="0" applyFont="1" applyBorder="1" applyAlignment="1">
      <alignment horizontal="left" vertical="center" wrapText="1" indent="1"/>
    </xf>
    <xf numFmtId="0" fontId="584" fillId="0" borderId="1" xfId="0" applyFont="1" applyBorder="1" applyAlignment="1">
      <alignment horizontal="left" vertical="center" wrapText="1" indent="1"/>
    </xf>
    <xf numFmtId="0" fontId="585" fillId="0" borderId="1" xfId="0" applyFont="1" applyBorder="1" applyAlignment="1">
      <alignment horizontal="left" vertical="center" wrapText="1" indent="1"/>
    </xf>
    <xf numFmtId="0" fontId="586" fillId="0" borderId="1" xfId="0" applyFont="1" applyBorder="1" applyAlignment="1">
      <alignment horizontal="left" vertical="center" wrapText="1" indent="1"/>
    </xf>
    <xf numFmtId="0" fontId="587" fillId="0" borderId="1" xfId="0" applyFont="1" applyBorder="1" applyAlignment="1">
      <alignment horizontal="left" vertical="center" wrapText="1" indent="1"/>
    </xf>
    <xf numFmtId="0" fontId="588" fillId="0" borderId="1" xfId="0" applyFont="1" applyBorder="1" applyAlignment="1">
      <alignment horizontal="left" vertical="center" wrapText="1" indent="1"/>
    </xf>
    <xf numFmtId="0" fontId="589" fillId="0" borderId="1" xfId="0" applyFont="1" applyBorder="1" applyAlignment="1">
      <alignment horizontal="left" vertical="center" wrapText="1" indent="1"/>
    </xf>
    <xf numFmtId="0" fontId="590" fillId="0" borderId="1" xfId="0" applyFont="1" applyBorder="1" applyAlignment="1">
      <alignment horizontal="left" vertical="center" wrapText="1" indent="1"/>
    </xf>
    <xf numFmtId="0" fontId="591" fillId="0" borderId="1" xfId="0" applyFont="1" applyBorder="1" applyAlignment="1">
      <alignment horizontal="left" vertical="center" wrapText="1" indent="1"/>
    </xf>
    <xf numFmtId="0" fontId="592" fillId="0" borderId="1" xfId="0" applyFont="1" applyBorder="1" applyAlignment="1">
      <alignment horizontal="left" vertical="center" wrapText="1" indent="1"/>
    </xf>
    <xf numFmtId="0" fontId="593" fillId="0" borderId="1" xfId="0" applyFont="1" applyBorder="1" applyAlignment="1">
      <alignment horizontal="left" vertical="center" wrapText="1" indent="1"/>
    </xf>
    <xf numFmtId="0" fontId="594" fillId="0" borderId="1" xfId="0" applyFont="1" applyBorder="1" applyAlignment="1">
      <alignment horizontal="left" vertical="center" wrapText="1" indent="1"/>
    </xf>
    <xf numFmtId="0" fontId="595" fillId="0" borderId="1" xfId="0" applyFont="1" applyBorder="1" applyAlignment="1">
      <alignment horizontal="left" vertical="center" wrapText="1" indent="1"/>
    </xf>
    <xf numFmtId="0" fontId="596" fillId="0" borderId="1" xfId="0" applyFont="1" applyBorder="1" applyAlignment="1">
      <alignment horizontal="left" vertical="center" wrapText="1" indent="1"/>
    </xf>
    <xf numFmtId="0" fontId="597" fillId="0" borderId="1" xfId="0" applyFont="1" applyBorder="1" applyAlignment="1">
      <alignment horizontal="left" vertical="center" wrapText="1" indent="1"/>
    </xf>
    <xf numFmtId="0" fontId="598" fillId="0" borderId="1" xfId="0" applyFont="1" applyBorder="1" applyAlignment="1">
      <alignment horizontal="left" vertical="center" wrapText="1" indent="1"/>
    </xf>
    <xf numFmtId="0" fontId="599" fillId="0" borderId="1" xfId="0" applyFont="1" applyBorder="1" applyAlignment="1">
      <alignment horizontal="left" vertical="center" wrapText="1" indent="1"/>
    </xf>
    <xf numFmtId="0" fontId="600" fillId="0" borderId="1" xfId="0" applyFont="1" applyBorder="1" applyAlignment="1">
      <alignment horizontal="left" vertical="center" wrapText="1" indent="1"/>
    </xf>
    <xf numFmtId="0" fontId="601" fillId="0" borderId="1" xfId="0" applyFont="1" applyBorder="1" applyAlignment="1">
      <alignment horizontal="left" vertical="center" wrapText="1" indent="1"/>
    </xf>
    <xf numFmtId="0" fontId="602" fillId="0" borderId="1" xfId="0" applyFont="1" applyBorder="1" applyAlignment="1">
      <alignment horizontal="left" vertical="center" wrapText="1" indent="1"/>
    </xf>
    <xf numFmtId="0" fontId="603" fillId="0" borderId="1" xfId="0" applyFont="1" applyBorder="1" applyAlignment="1">
      <alignment horizontal="left" vertical="center" wrapText="1" indent="1"/>
    </xf>
    <xf numFmtId="0" fontId="604" fillId="0" borderId="1" xfId="0" applyFont="1" applyBorder="1" applyAlignment="1">
      <alignment horizontal="left" vertical="center" wrapText="1" indent="1"/>
    </xf>
    <xf numFmtId="0" fontId="605" fillId="0" borderId="1" xfId="0" applyFont="1" applyBorder="1" applyAlignment="1">
      <alignment horizontal="left" vertical="center" wrapText="1" indent="1"/>
    </xf>
    <xf numFmtId="0" fontId="606" fillId="0" borderId="1" xfId="0" applyFont="1" applyBorder="1" applyAlignment="1">
      <alignment horizontal="left" vertical="center" wrapText="1" indent="1"/>
    </xf>
    <xf numFmtId="0" fontId="607" fillId="0" borderId="1" xfId="0" applyFont="1" applyBorder="1" applyAlignment="1">
      <alignment horizontal="left" vertical="center" wrapText="1" indent="1"/>
    </xf>
    <xf numFmtId="0" fontId="608" fillId="0" borderId="1" xfId="0" applyFont="1" applyBorder="1" applyAlignment="1">
      <alignment horizontal="left" vertical="center" wrapText="1" indent="1"/>
    </xf>
    <xf numFmtId="0" fontId="609" fillId="0" borderId="1" xfId="0" applyFont="1" applyBorder="1" applyAlignment="1">
      <alignment horizontal="left" vertical="center" wrapText="1" indent="1"/>
    </xf>
    <xf numFmtId="0" fontId="610" fillId="0" borderId="1" xfId="0" applyFont="1" applyBorder="1" applyAlignment="1">
      <alignment horizontal="left" vertical="center" wrapText="1" indent="1"/>
    </xf>
    <xf numFmtId="0" fontId="611" fillId="0" borderId="1" xfId="0" applyFont="1" applyBorder="1" applyAlignment="1">
      <alignment horizontal="left" vertical="center" wrapText="1" indent="1"/>
    </xf>
    <xf numFmtId="0" fontId="612" fillId="0" borderId="1" xfId="0" applyFont="1" applyBorder="1" applyAlignment="1">
      <alignment horizontal="left" vertical="center" wrapText="1" indent="1"/>
    </xf>
    <xf numFmtId="0" fontId="613" fillId="0" borderId="1" xfId="0" applyFont="1" applyBorder="1" applyAlignment="1">
      <alignment horizontal="left" vertical="center" wrapText="1" indent="1"/>
    </xf>
    <xf numFmtId="0" fontId="614" fillId="0" borderId="1" xfId="0" applyFont="1" applyBorder="1" applyAlignment="1">
      <alignment horizontal="left" vertical="center" wrapText="1" indent="1"/>
    </xf>
    <xf numFmtId="0" fontId="615" fillId="0" borderId="1" xfId="0" applyFont="1" applyBorder="1" applyAlignment="1">
      <alignment horizontal="left" vertical="center" wrapText="1" indent="1"/>
    </xf>
    <xf numFmtId="0" fontId="616" fillId="0" borderId="1" xfId="0" applyFont="1" applyBorder="1" applyAlignment="1">
      <alignment horizontal="left" vertical="center" wrapText="1" indent="1"/>
    </xf>
    <xf numFmtId="0" fontId="617" fillId="0" borderId="1" xfId="0" applyFont="1" applyBorder="1" applyAlignment="1">
      <alignment horizontal="left" vertical="center" wrapText="1" indent="1"/>
    </xf>
    <xf numFmtId="0" fontId="618" fillId="0" borderId="1" xfId="0" applyFont="1" applyBorder="1" applyAlignment="1">
      <alignment horizontal="left" vertical="center" wrapText="1" indent="1"/>
    </xf>
    <xf numFmtId="0" fontId="619" fillId="0" borderId="1" xfId="0" applyFont="1" applyBorder="1" applyAlignment="1">
      <alignment horizontal="left" vertical="center" wrapText="1" indent="1"/>
    </xf>
    <xf numFmtId="0" fontId="620" fillId="0" borderId="1" xfId="0" applyFont="1" applyBorder="1" applyAlignment="1">
      <alignment horizontal="left" vertical="center" wrapText="1" indent="1"/>
    </xf>
    <xf numFmtId="0" fontId="621" fillId="0" borderId="1" xfId="0" applyFont="1" applyBorder="1" applyAlignment="1">
      <alignment horizontal="left" vertical="center" wrapText="1" indent="1"/>
    </xf>
    <xf numFmtId="0" fontId="622" fillId="0" borderId="1" xfId="0" applyFont="1" applyBorder="1" applyAlignment="1">
      <alignment horizontal="left" vertical="center" wrapText="1" indent="1"/>
    </xf>
    <xf numFmtId="0" fontId="623" fillId="0" borderId="1" xfId="0" applyFont="1" applyBorder="1" applyAlignment="1">
      <alignment horizontal="left" vertical="center" wrapText="1" indent="1"/>
    </xf>
    <xf numFmtId="0" fontId="624" fillId="0" borderId="1" xfId="0" applyFont="1" applyBorder="1" applyAlignment="1">
      <alignment horizontal="left" vertical="center" wrapText="1" indent="1"/>
    </xf>
    <xf numFmtId="0" fontId="625" fillId="0" borderId="1" xfId="0" applyFont="1" applyBorder="1" applyAlignment="1">
      <alignment horizontal="left" vertical="center" wrapText="1" indent="1"/>
    </xf>
    <xf numFmtId="0" fontId="626" fillId="0" borderId="1" xfId="0" applyFont="1" applyBorder="1" applyAlignment="1">
      <alignment horizontal="left" vertical="center" wrapText="1" indent="1"/>
    </xf>
    <xf numFmtId="0" fontId="627" fillId="0" borderId="1" xfId="0" applyFont="1" applyBorder="1" applyAlignment="1">
      <alignment horizontal="left" vertical="center" wrapText="1" indent="1"/>
    </xf>
    <xf numFmtId="0" fontId="628" fillId="0" borderId="1" xfId="0" applyFont="1" applyBorder="1" applyAlignment="1">
      <alignment horizontal="left" vertical="center" wrapText="1" indent="1"/>
    </xf>
    <xf numFmtId="0" fontId="629" fillId="0" borderId="1" xfId="0" applyFont="1" applyBorder="1" applyAlignment="1">
      <alignment horizontal="left" vertical="center" wrapText="1" indent="1"/>
    </xf>
    <xf numFmtId="0" fontId="630" fillId="0" borderId="1" xfId="0" applyFont="1" applyBorder="1" applyAlignment="1">
      <alignment horizontal="left" vertical="center" wrapText="1" indent="1"/>
    </xf>
    <xf numFmtId="0" fontId="631" fillId="0" borderId="1" xfId="0" applyFont="1" applyBorder="1" applyAlignment="1">
      <alignment horizontal="left" vertical="center" wrapText="1" indent="1"/>
    </xf>
    <xf numFmtId="0" fontId="632" fillId="0" borderId="1" xfId="0" applyFont="1" applyBorder="1" applyAlignment="1">
      <alignment horizontal="left" vertical="center" wrapText="1" indent="1"/>
    </xf>
    <xf numFmtId="0" fontId="633" fillId="0" borderId="1" xfId="0" applyFont="1" applyBorder="1" applyAlignment="1">
      <alignment horizontal="left" vertical="center" wrapText="1" indent="1"/>
    </xf>
    <xf numFmtId="0" fontId="634" fillId="0" borderId="1" xfId="0" applyFont="1" applyBorder="1" applyAlignment="1">
      <alignment horizontal="left" vertical="center" wrapText="1" indent="1"/>
    </xf>
    <xf numFmtId="0" fontId="635" fillId="0" borderId="1" xfId="0" applyFont="1" applyBorder="1" applyAlignment="1">
      <alignment horizontal="left" vertical="center" wrapText="1" indent="1"/>
    </xf>
    <xf numFmtId="0" fontId="636" fillId="0" borderId="1" xfId="0" applyFont="1" applyBorder="1" applyAlignment="1">
      <alignment horizontal="left" vertical="center" wrapText="1" indent="1"/>
    </xf>
    <xf numFmtId="0" fontId="637" fillId="0" borderId="1" xfId="0" applyFont="1" applyBorder="1" applyAlignment="1">
      <alignment horizontal="left" vertical="center" wrapText="1" indent="1"/>
    </xf>
    <xf numFmtId="0" fontId="638" fillId="0" borderId="1" xfId="0" applyFont="1" applyBorder="1" applyAlignment="1">
      <alignment horizontal="left" vertical="center" wrapText="1" indent="1"/>
    </xf>
    <xf numFmtId="0" fontId="639" fillId="0" borderId="1" xfId="0" applyFont="1" applyBorder="1" applyAlignment="1">
      <alignment horizontal="left" vertical="center" wrapText="1" indent="1"/>
    </xf>
    <xf numFmtId="0" fontId="640" fillId="0" borderId="1" xfId="0" applyFont="1" applyBorder="1" applyAlignment="1">
      <alignment horizontal="left" vertical="center" wrapText="1" indent="1"/>
    </xf>
    <xf numFmtId="0" fontId="641" fillId="0" borderId="1" xfId="0" applyFont="1" applyBorder="1" applyAlignment="1">
      <alignment horizontal="left" vertical="center" wrapText="1" indent="1"/>
    </xf>
    <xf numFmtId="0" fontId="642" fillId="0" borderId="1" xfId="0" applyFont="1" applyBorder="1" applyAlignment="1">
      <alignment horizontal="left" vertical="center" wrapText="1" indent="1"/>
    </xf>
    <xf numFmtId="0" fontId="643" fillId="0" borderId="1" xfId="0" applyFont="1" applyBorder="1" applyAlignment="1">
      <alignment horizontal="left" vertical="center" wrapText="1" indent="1"/>
    </xf>
    <xf numFmtId="0" fontId="644" fillId="0" borderId="1" xfId="0" applyFont="1" applyBorder="1" applyAlignment="1">
      <alignment horizontal="left" vertical="center" wrapText="1" indent="1"/>
    </xf>
    <xf numFmtId="0" fontId="645" fillId="0" borderId="1" xfId="0" applyFont="1" applyBorder="1" applyAlignment="1">
      <alignment horizontal="left" vertical="center" wrapText="1" indent="1"/>
    </xf>
    <xf numFmtId="0" fontId="646" fillId="0" borderId="1" xfId="0" applyFont="1" applyBorder="1" applyAlignment="1">
      <alignment horizontal="left" vertical="center" wrapText="1" indent="1"/>
    </xf>
    <xf numFmtId="0" fontId="647" fillId="0" borderId="1" xfId="0" applyFont="1" applyBorder="1" applyAlignment="1">
      <alignment horizontal="left" vertical="center" wrapText="1" indent="1"/>
    </xf>
    <xf numFmtId="0" fontId="648" fillId="0" borderId="1" xfId="0" applyFont="1" applyBorder="1" applyAlignment="1">
      <alignment horizontal="left" vertical="center" wrapText="1" indent="1"/>
    </xf>
    <xf numFmtId="0" fontId="649" fillId="0" borderId="1" xfId="0" applyFont="1" applyBorder="1" applyAlignment="1">
      <alignment horizontal="left" vertical="center" wrapText="1" indent="1"/>
    </xf>
    <xf numFmtId="0" fontId="650" fillId="0" borderId="1" xfId="0" applyFont="1" applyBorder="1" applyAlignment="1">
      <alignment horizontal="left" vertical="center" wrapText="1" indent="1"/>
    </xf>
    <xf numFmtId="0" fontId="651" fillId="0" borderId="1" xfId="0" applyFont="1" applyBorder="1" applyAlignment="1">
      <alignment horizontal="left" vertical="center" wrapText="1" indent="1"/>
    </xf>
    <xf numFmtId="0" fontId="652" fillId="0" borderId="1" xfId="0" applyFont="1" applyBorder="1" applyAlignment="1">
      <alignment horizontal="left" vertical="center" wrapText="1" indent="1"/>
    </xf>
    <xf numFmtId="0" fontId="653" fillId="0" borderId="1" xfId="0" applyFont="1" applyBorder="1" applyAlignment="1">
      <alignment horizontal="left" vertical="center" wrapText="1" indent="1"/>
    </xf>
    <xf numFmtId="0" fontId="654" fillId="0" borderId="1" xfId="0" applyFont="1" applyBorder="1" applyAlignment="1">
      <alignment horizontal="left" vertical="center" wrapText="1" indent="1"/>
    </xf>
    <xf numFmtId="0" fontId="655" fillId="0" borderId="1" xfId="0" applyFont="1" applyBorder="1" applyAlignment="1">
      <alignment horizontal="left" vertical="center" wrapText="1" indent="1"/>
    </xf>
    <xf numFmtId="0" fontId="656" fillId="0" borderId="1" xfId="0" applyFont="1" applyBorder="1" applyAlignment="1">
      <alignment horizontal="left" vertical="center" wrapText="1" indent="1"/>
    </xf>
    <xf numFmtId="0" fontId="657" fillId="0" borderId="1" xfId="0" applyFont="1" applyBorder="1" applyAlignment="1">
      <alignment horizontal="left" vertical="center" wrapText="1" indent="1"/>
    </xf>
    <xf numFmtId="0" fontId="658" fillId="0" borderId="1" xfId="0" applyFont="1" applyBorder="1" applyAlignment="1">
      <alignment horizontal="left" vertical="center" wrapText="1" indent="1"/>
    </xf>
    <xf numFmtId="0" fontId="659" fillId="0" borderId="1" xfId="0" applyFont="1" applyBorder="1" applyAlignment="1">
      <alignment horizontal="left" vertical="center" wrapText="1" indent="1"/>
    </xf>
    <xf numFmtId="0" fontId="660" fillId="0" borderId="1" xfId="0" applyFont="1" applyBorder="1" applyAlignment="1">
      <alignment horizontal="left" vertical="center" wrapText="1" indent="1"/>
    </xf>
    <xf numFmtId="0" fontId="661" fillId="0" borderId="1" xfId="0" applyFont="1" applyBorder="1" applyAlignment="1">
      <alignment horizontal="left" vertical="center" wrapText="1" indent="1"/>
    </xf>
    <xf numFmtId="0" fontId="662" fillId="0" borderId="1" xfId="0" applyFont="1" applyBorder="1" applyAlignment="1">
      <alignment horizontal="left" vertical="center" wrapText="1" indent="1"/>
    </xf>
    <xf numFmtId="0" fontId="663" fillId="0" borderId="1" xfId="0" applyFont="1" applyBorder="1" applyAlignment="1">
      <alignment horizontal="left" vertical="center" wrapText="1" indent="1"/>
    </xf>
    <xf numFmtId="0" fontId="664" fillId="0" borderId="1" xfId="0" applyFont="1" applyBorder="1" applyAlignment="1">
      <alignment horizontal="left" vertical="center" wrapText="1" indent="1"/>
    </xf>
    <xf numFmtId="0" fontId="665" fillId="0" borderId="1" xfId="0" applyFont="1" applyBorder="1" applyAlignment="1">
      <alignment horizontal="left" vertical="center" wrapText="1" indent="1"/>
    </xf>
    <xf numFmtId="0" fontId="666" fillId="0" borderId="1" xfId="0" applyFont="1" applyBorder="1" applyAlignment="1">
      <alignment horizontal="left" vertical="center" wrapText="1" indent="1"/>
    </xf>
    <xf numFmtId="0" fontId="667" fillId="0" borderId="1" xfId="0" applyFont="1" applyBorder="1" applyAlignment="1">
      <alignment horizontal="left" vertical="center" wrapText="1" indent="1"/>
    </xf>
    <xf numFmtId="0" fontId="668" fillId="0" borderId="1" xfId="0" applyFont="1" applyBorder="1" applyAlignment="1">
      <alignment horizontal="left" vertical="center" wrapText="1" indent="1"/>
    </xf>
    <xf numFmtId="0" fontId="669" fillId="0" borderId="1" xfId="0" applyFont="1" applyBorder="1" applyAlignment="1">
      <alignment horizontal="left" vertical="center" wrapText="1" indent="1"/>
    </xf>
    <xf numFmtId="0" fontId="670" fillId="0" borderId="1" xfId="0" applyFont="1" applyBorder="1" applyAlignment="1">
      <alignment horizontal="left" vertical="center" wrapText="1" indent="1"/>
    </xf>
    <xf numFmtId="0" fontId="671" fillId="0" borderId="1" xfId="0" applyFont="1" applyBorder="1" applyAlignment="1">
      <alignment horizontal="left" vertical="center" wrapText="1" indent="1"/>
    </xf>
    <xf numFmtId="0" fontId="672" fillId="0" borderId="1" xfId="0" applyFont="1" applyBorder="1" applyAlignment="1">
      <alignment horizontal="left" vertical="center" wrapText="1" indent="1"/>
    </xf>
    <xf numFmtId="0" fontId="673" fillId="0" borderId="1" xfId="0" applyFont="1" applyBorder="1" applyAlignment="1">
      <alignment horizontal="left" vertical="center" wrapText="1" indent="1"/>
    </xf>
    <xf numFmtId="0" fontId="674" fillId="0" borderId="1" xfId="0" applyFont="1" applyBorder="1" applyAlignment="1">
      <alignment horizontal="left" vertical="center" wrapText="1" indent="1"/>
    </xf>
    <xf numFmtId="0" fontId="675" fillId="0" borderId="1" xfId="0" applyFont="1" applyBorder="1" applyAlignment="1">
      <alignment horizontal="left" vertical="center" wrapText="1" indent="1"/>
    </xf>
    <xf numFmtId="0" fontId="676" fillId="0" borderId="1" xfId="0" applyFont="1" applyBorder="1" applyAlignment="1">
      <alignment horizontal="left" vertical="center" wrapText="1" indent="1"/>
    </xf>
    <xf numFmtId="0" fontId="677" fillId="0" borderId="1" xfId="0" applyFont="1" applyBorder="1" applyAlignment="1">
      <alignment horizontal="left" vertical="center" wrapText="1" indent="1"/>
    </xf>
    <xf numFmtId="0" fontId="678" fillId="0" borderId="1" xfId="0" applyFont="1" applyBorder="1" applyAlignment="1">
      <alignment horizontal="left" vertical="center" wrapText="1" indent="1"/>
    </xf>
    <xf numFmtId="0" fontId="679" fillId="0" borderId="1" xfId="0" applyFont="1" applyBorder="1" applyAlignment="1">
      <alignment horizontal="left" vertical="center" wrapText="1" indent="1"/>
    </xf>
    <xf numFmtId="0" fontId="680" fillId="0" borderId="1" xfId="0" applyFont="1" applyBorder="1" applyAlignment="1">
      <alignment horizontal="left" vertical="center" wrapText="1" indent="1"/>
    </xf>
    <xf numFmtId="0" fontId="681" fillId="0" borderId="1" xfId="0" applyFont="1" applyBorder="1" applyAlignment="1">
      <alignment horizontal="left" vertical="center" wrapText="1" indent="1"/>
    </xf>
    <xf numFmtId="0" fontId="682" fillId="0" borderId="1" xfId="0" applyFont="1" applyBorder="1" applyAlignment="1">
      <alignment horizontal="left" vertical="center" wrapText="1" indent="1"/>
    </xf>
    <xf numFmtId="0" fontId="683" fillId="0" borderId="1" xfId="0" applyFont="1" applyBorder="1" applyAlignment="1">
      <alignment horizontal="left" vertical="center" wrapText="1" indent="1"/>
    </xf>
    <xf numFmtId="0" fontId="684" fillId="0" borderId="1" xfId="0" applyFont="1" applyBorder="1" applyAlignment="1">
      <alignment horizontal="left" vertical="center" wrapText="1" indent="1"/>
    </xf>
    <xf numFmtId="0" fontId="685" fillId="0" borderId="1" xfId="0" applyFont="1" applyBorder="1" applyAlignment="1">
      <alignment horizontal="left" vertical="center" wrapText="1" indent="1"/>
    </xf>
    <xf numFmtId="0" fontId="686" fillId="0" borderId="1" xfId="0" applyFont="1" applyBorder="1" applyAlignment="1">
      <alignment horizontal="left" vertical="center" wrapText="1" indent="1"/>
    </xf>
    <xf numFmtId="0" fontId="687" fillId="0" borderId="1" xfId="0" applyFont="1" applyBorder="1" applyAlignment="1">
      <alignment horizontal="left" vertical="center" wrapText="1" indent="1"/>
    </xf>
    <xf numFmtId="0" fontId="688" fillId="0" borderId="1" xfId="0" applyFont="1" applyBorder="1" applyAlignment="1">
      <alignment horizontal="left" vertical="center" wrapText="1" indent="1"/>
    </xf>
    <xf numFmtId="0" fontId="689" fillId="0" borderId="1" xfId="0" applyFont="1" applyBorder="1" applyAlignment="1">
      <alignment horizontal="left" vertical="center" wrapText="1" indent="1"/>
    </xf>
    <xf numFmtId="0" fontId="690" fillId="0" borderId="1" xfId="0" applyFont="1" applyBorder="1" applyAlignment="1">
      <alignment horizontal="left" vertical="center" wrapText="1" indent="1"/>
    </xf>
    <xf numFmtId="0" fontId="691" fillId="0" borderId="1" xfId="0" applyFont="1" applyBorder="1" applyAlignment="1">
      <alignment horizontal="left" vertical="center" wrapText="1" indent="1"/>
    </xf>
    <xf numFmtId="0" fontId="692" fillId="0" borderId="1" xfId="0" applyFont="1" applyBorder="1" applyAlignment="1">
      <alignment horizontal="left" vertical="center" wrapText="1" indent="1"/>
    </xf>
    <xf numFmtId="0" fontId="693" fillId="0" borderId="1" xfId="0" applyFont="1" applyBorder="1" applyAlignment="1">
      <alignment horizontal="left" vertical="center" wrapText="1" indent="1"/>
    </xf>
    <xf numFmtId="0" fontId="694" fillId="0" borderId="1" xfId="0" applyFont="1" applyBorder="1" applyAlignment="1">
      <alignment horizontal="left" vertical="center" wrapText="1" indent="1"/>
    </xf>
    <xf numFmtId="0" fontId="695" fillId="0" borderId="1" xfId="0" applyFont="1" applyBorder="1" applyAlignment="1">
      <alignment horizontal="left" vertical="center" wrapText="1" indent="1"/>
    </xf>
    <xf numFmtId="0" fontId="696" fillId="0" borderId="1" xfId="0" applyFont="1" applyBorder="1" applyAlignment="1">
      <alignment horizontal="left" vertical="center" wrapText="1" indent="1"/>
    </xf>
    <xf numFmtId="0" fontId="697" fillId="0" borderId="1" xfId="0" applyFont="1" applyBorder="1" applyAlignment="1">
      <alignment horizontal="left" vertical="center" wrapText="1" indent="1"/>
    </xf>
    <xf numFmtId="0" fontId="698" fillId="0" borderId="1" xfId="0" applyFont="1" applyBorder="1" applyAlignment="1">
      <alignment horizontal="left" vertical="center" wrapText="1" indent="1"/>
    </xf>
    <xf numFmtId="0" fontId="699" fillId="0" borderId="1" xfId="0" applyFont="1" applyBorder="1" applyAlignment="1">
      <alignment horizontal="left" vertical="center" wrapText="1" indent="1"/>
    </xf>
    <xf numFmtId="0" fontId="700" fillId="0" borderId="1" xfId="0" applyFont="1" applyBorder="1" applyAlignment="1">
      <alignment horizontal="left" vertical="center" wrapText="1" indent="1"/>
    </xf>
    <xf numFmtId="0" fontId="701" fillId="0" borderId="1" xfId="0" applyFont="1" applyBorder="1" applyAlignment="1">
      <alignment horizontal="left" vertical="center" wrapText="1" indent="1"/>
    </xf>
    <xf numFmtId="0" fontId="702" fillId="0" borderId="1" xfId="0" applyFont="1" applyBorder="1" applyAlignment="1">
      <alignment horizontal="left" vertical="center" wrapText="1" indent="1"/>
    </xf>
    <xf numFmtId="0" fontId="703" fillId="0" borderId="1" xfId="0" applyFont="1" applyBorder="1" applyAlignment="1">
      <alignment horizontal="left" vertical="center" wrapText="1" indent="1"/>
    </xf>
    <xf numFmtId="0" fontId="704" fillId="0" borderId="1" xfId="0" applyFont="1" applyBorder="1" applyAlignment="1">
      <alignment horizontal="left" vertical="center" wrapText="1" indent="1"/>
    </xf>
    <xf numFmtId="0" fontId="705" fillId="0" borderId="1" xfId="0" applyFont="1" applyBorder="1" applyAlignment="1">
      <alignment horizontal="left" vertical="center" wrapText="1" indent="1"/>
    </xf>
    <xf numFmtId="0" fontId="706" fillId="0" borderId="1" xfId="0" applyFont="1" applyBorder="1" applyAlignment="1">
      <alignment horizontal="left" vertical="center" wrapText="1" indent="1"/>
    </xf>
    <xf numFmtId="0" fontId="707" fillId="0" borderId="1" xfId="0" applyFont="1" applyBorder="1" applyAlignment="1">
      <alignment horizontal="left" vertical="center" wrapText="1" indent="1"/>
    </xf>
    <xf numFmtId="0" fontId="708" fillId="0" borderId="1" xfId="0" applyFont="1" applyBorder="1" applyAlignment="1">
      <alignment horizontal="left" vertical="center" wrapText="1" indent="1"/>
    </xf>
    <xf numFmtId="0" fontId="709" fillId="0" borderId="1" xfId="0" applyFont="1" applyBorder="1" applyAlignment="1">
      <alignment horizontal="left" vertical="center" wrapText="1" indent="1"/>
    </xf>
    <xf numFmtId="0" fontId="710" fillId="0" borderId="1" xfId="0" applyFont="1" applyBorder="1" applyAlignment="1">
      <alignment horizontal="left" vertical="center" wrapText="1" indent="1"/>
    </xf>
    <xf numFmtId="0" fontId="711" fillId="0" borderId="1" xfId="0" applyFont="1" applyBorder="1" applyAlignment="1">
      <alignment horizontal="left" vertical="center" wrapText="1" indent="1"/>
    </xf>
    <xf numFmtId="0" fontId="712" fillId="0" borderId="1" xfId="0" applyFont="1" applyBorder="1" applyAlignment="1">
      <alignment horizontal="left" vertical="center" wrapText="1" indent="1"/>
    </xf>
    <xf numFmtId="0" fontId="713" fillId="0" borderId="1" xfId="0" applyFont="1" applyBorder="1" applyAlignment="1">
      <alignment horizontal="left" vertical="center" wrapText="1" indent="1"/>
    </xf>
    <xf numFmtId="0" fontId="714" fillId="0" borderId="1" xfId="0" applyFont="1" applyBorder="1" applyAlignment="1">
      <alignment horizontal="left" vertical="center" wrapText="1" indent="1"/>
    </xf>
    <xf numFmtId="0" fontId="715" fillId="0" borderId="1" xfId="0" applyFont="1" applyBorder="1" applyAlignment="1">
      <alignment horizontal="left" vertical="center" wrapText="1" indent="1"/>
    </xf>
    <xf numFmtId="0" fontId="716" fillId="0" borderId="1" xfId="0" applyFont="1" applyBorder="1" applyAlignment="1">
      <alignment horizontal="left" vertical="center" wrapText="1" indent="1"/>
    </xf>
    <xf numFmtId="0" fontId="717" fillId="0" borderId="1" xfId="0" applyFont="1" applyBorder="1" applyAlignment="1">
      <alignment horizontal="left" vertical="center" wrapText="1" indent="1"/>
    </xf>
    <xf numFmtId="0" fontId="718" fillId="0" borderId="1" xfId="0" applyFont="1" applyBorder="1" applyAlignment="1">
      <alignment horizontal="left" vertical="center" wrapText="1" indent="1"/>
    </xf>
    <xf numFmtId="0" fontId="719" fillId="0" borderId="1" xfId="0" applyFont="1" applyBorder="1" applyAlignment="1">
      <alignment horizontal="left" vertical="center" wrapText="1" indent="1"/>
    </xf>
    <xf numFmtId="0" fontId="720" fillId="0" borderId="1" xfId="0" applyFont="1" applyBorder="1" applyAlignment="1">
      <alignment horizontal="left" vertical="center" wrapText="1" indent="1"/>
    </xf>
    <xf numFmtId="0" fontId="721" fillId="0" borderId="1" xfId="0" applyFont="1" applyBorder="1" applyAlignment="1">
      <alignment horizontal="left" vertical="center" wrapText="1" indent="1"/>
    </xf>
    <xf numFmtId="0" fontId="722" fillId="0" borderId="1" xfId="0" applyFont="1" applyBorder="1" applyAlignment="1">
      <alignment horizontal="left" vertical="center" wrapText="1" indent="1"/>
    </xf>
    <xf numFmtId="0" fontId="723" fillId="0" borderId="1" xfId="0" applyFont="1" applyBorder="1" applyAlignment="1">
      <alignment horizontal="left" vertical="center" wrapText="1" indent="1"/>
    </xf>
    <xf numFmtId="0" fontId="724" fillId="0" borderId="1" xfId="0" applyFont="1" applyBorder="1" applyAlignment="1">
      <alignment horizontal="left" vertical="center" wrapText="1" indent="1"/>
    </xf>
    <xf numFmtId="0" fontId="725" fillId="0" borderId="1" xfId="0" applyFont="1" applyBorder="1" applyAlignment="1">
      <alignment horizontal="left" vertical="center" wrapText="1" indent="1"/>
    </xf>
    <xf numFmtId="0" fontId="726" fillId="0" borderId="1" xfId="0" applyFont="1" applyBorder="1" applyAlignment="1">
      <alignment horizontal="left" vertical="center" wrapText="1" indent="1"/>
    </xf>
    <xf numFmtId="0" fontId="727" fillId="0" borderId="1" xfId="0" applyFont="1" applyBorder="1" applyAlignment="1">
      <alignment horizontal="left" vertical="center" wrapText="1" indent="1"/>
    </xf>
    <xf numFmtId="0" fontId="728" fillId="0" borderId="1" xfId="0" applyFont="1" applyBorder="1" applyAlignment="1">
      <alignment horizontal="left" vertical="center" wrapText="1" indent="1"/>
    </xf>
    <xf numFmtId="0" fontId="729" fillId="0" borderId="1" xfId="0" applyFont="1" applyBorder="1" applyAlignment="1">
      <alignment horizontal="left" vertical="center" wrapText="1" indent="1"/>
    </xf>
    <xf numFmtId="0" fontId="730" fillId="0" borderId="1" xfId="0" applyFont="1" applyBorder="1" applyAlignment="1">
      <alignment horizontal="left" vertical="center" wrapText="1" indent="1"/>
    </xf>
    <xf numFmtId="0" fontId="731" fillId="0" borderId="1" xfId="0" applyFont="1" applyBorder="1" applyAlignment="1">
      <alignment horizontal="left" vertical="center" wrapText="1" indent="1"/>
    </xf>
    <xf numFmtId="0" fontId="732" fillId="0" borderId="1" xfId="0" applyFont="1" applyBorder="1" applyAlignment="1">
      <alignment horizontal="left" vertical="center" wrapText="1" indent="1"/>
    </xf>
    <xf numFmtId="0" fontId="733" fillId="0" borderId="1" xfId="0" applyFont="1" applyBorder="1" applyAlignment="1">
      <alignment horizontal="left" vertical="center" wrapText="1" indent="1"/>
    </xf>
    <xf numFmtId="0" fontId="734" fillId="0" borderId="1" xfId="0" applyFont="1" applyBorder="1" applyAlignment="1">
      <alignment horizontal="left" vertical="center" wrapText="1" indent="1"/>
    </xf>
    <xf numFmtId="0" fontId="735" fillId="0" borderId="1" xfId="0" applyFont="1" applyBorder="1" applyAlignment="1">
      <alignment horizontal="left" vertical="center" wrapText="1" indent="1"/>
    </xf>
    <xf numFmtId="0" fontId="736" fillId="0" borderId="1" xfId="0" applyFont="1" applyBorder="1" applyAlignment="1">
      <alignment horizontal="left" vertical="center" wrapText="1" indent="1"/>
    </xf>
    <xf numFmtId="0" fontId="737" fillId="0" borderId="1" xfId="0" applyFont="1" applyBorder="1" applyAlignment="1">
      <alignment horizontal="left" vertical="center" wrapText="1" indent="1"/>
    </xf>
    <xf numFmtId="0" fontId="738" fillId="0" borderId="1" xfId="0" applyFont="1" applyBorder="1" applyAlignment="1">
      <alignment horizontal="left" vertical="center" wrapText="1" indent="1"/>
    </xf>
    <xf numFmtId="0" fontId="739" fillId="0" borderId="1" xfId="0" applyFont="1" applyBorder="1" applyAlignment="1">
      <alignment horizontal="left" vertical="center" wrapText="1" indent="1"/>
    </xf>
    <xf numFmtId="0" fontId="740" fillId="0" borderId="1" xfId="0" applyFont="1" applyBorder="1" applyAlignment="1">
      <alignment horizontal="left" vertical="center" wrapText="1" indent="1"/>
    </xf>
    <xf numFmtId="0" fontId="741" fillId="0" borderId="1" xfId="0" applyFont="1" applyBorder="1" applyAlignment="1">
      <alignment horizontal="left" vertical="center" wrapText="1" indent="1"/>
    </xf>
    <xf numFmtId="0" fontId="742" fillId="0" borderId="1" xfId="0" applyFont="1" applyBorder="1" applyAlignment="1">
      <alignment horizontal="left" vertical="center" wrapText="1" indent="1"/>
    </xf>
    <xf numFmtId="0" fontId="743" fillId="0" borderId="1" xfId="0" applyFont="1" applyBorder="1" applyAlignment="1">
      <alignment horizontal="left" vertical="center" wrapText="1" indent="1"/>
    </xf>
    <xf numFmtId="0" fontId="744" fillId="0" borderId="1" xfId="0" applyFont="1" applyBorder="1" applyAlignment="1">
      <alignment horizontal="left" vertical="center" wrapText="1" indent="1"/>
    </xf>
    <xf numFmtId="0" fontId="745" fillId="0" borderId="1" xfId="0" applyFont="1" applyBorder="1" applyAlignment="1">
      <alignment horizontal="left" vertical="center" wrapText="1" indent="1"/>
    </xf>
    <xf numFmtId="0" fontId="746" fillId="0" borderId="1" xfId="0" applyFont="1" applyBorder="1" applyAlignment="1">
      <alignment horizontal="left" vertical="center" wrapText="1" indent="1"/>
    </xf>
    <xf numFmtId="0" fontId="747" fillId="0" borderId="1" xfId="0" applyFont="1" applyBorder="1" applyAlignment="1">
      <alignment horizontal="left" vertical="center" wrapText="1" indent="1"/>
    </xf>
    <xf numFmtId="0" fontId="748" fillId="0" borderId="1" xfId="0" applyFont="1" applyBorder="1" applyAlignment="1">
      <alignment horizontal="left" vertical="center" wrapText="1" indent="1"/>
    </xf>
    <xf numFmtId="0" fontId="749" fillId="0" borderId="1" xfId="0" applyFont="1" applyBorder="1" applyAlignment="1">
      <alignment horizontal="left" vertical="center" wrapText="1" indent="1"/>
    </xf>
    <xf numFmtId="0" fontId="750" fillId="0" borderId="1" xfId="0" applyFont="1" applyBorder="1" applyAlignment="1">
      <alignment horizontal="left" vertical="center" wrapText="1" indent="1"/>
    </xf>
    <xf numFmtId="0" fontId="751" fillId="0" borderId="1" xfId="0" applyFont="1" applyBorder="1" applyAlignment="1">
      <alignment horizontal="left" vertical="center" wrapText="1" indent="1"/>
    </xf>
    <xf numFmtId="0" fontId="752" fillId="0" borderId="1" xfId="0" applyFont="1" applyBorder="1" applyAlignment="1">
      <alignment horizontal="left" vertical="center" wrapText="1" indent="1"/>
    </xf>
    <xf numFmtId="0" fontId="753" fillId="0" borderId="1" xfId="0" applyFont="1" applyBorder="1" applyAlignment="1">
      <alignment horizontal="left" vertical="center" wrapText="1" indent="1"/>
    </xf>
    <xf numFmtId="0" fontId="754" fillId="0" borderId="1" xfId="0" applyFont="1" applyBorder="1" applyAlignment="1">
      <alignment horizontal="left" vertical="center" wrapText="1" indent="1"/>
    </xf>
    <xf numFmtId="0" fontId="755" fillId="0" borderId="1" xfId="0" applyFont="1" applyBorder="1" applyAlignment="1">
      <alignment horizontal="left" vertical="center" wrapText="1" indent="1"/>
    </xf>
    <xf numFmtId="0" fontId="756" fillId="0" borderId="1" xfId="0" applyFont="1" applyBorder="1" applyAlignment="1">
      <alignment horizontal="left" vertical="center" wrapText="1" indent="1"/>
    </xf>
    <xf numFmtId="0" fontId="757" fillId="0" borderId="1" xfId="0" applyFont="1" applyBorder="1" applyAlignment="1">
      <alignment horizontal="left" vertical="center" wrapText="1" indent="1"/>
    </xf>
    <xf numFmtId="0" fontId="758" fillId="0" borderId="1" xfId="0" applyFont="1" applyBorder="1" applyAlignment="1">
      <alignment horizontal="left" vertical="center" wrapText="1" indent="1"/>
    </xf>
    <xf numFmtId="0" fontId="759" fillId="0" borderId="1" xfId="0" applyFont="1" applyBorder="1" applyAlignment="1">
      <alignment horizontal="left" vertical="center" wrapText="1" indent="1"/>
    </xf>
    <xf numFmtId="0" fontId="760" fillId="0" borderId="1" xfId="0" applyFont="1" applyBorder="1" applyAlignment="1">
      <alignment horizontal="left" vertical="center" wrapText="1" indent="1"/>
    </xf>
    <xf numFmtId="0" fontId="761" fillId="0" borderId="1" xfId="0" applyFont="1" applyBorder="1" applyAlignment="1">
      <alignment horizontal="left" vertical="center" wrapText="1" indent="1"/>
    </xf>
    <xf numFmtId="0" fontId="762" fillId="0" borderId="1" xfId="0" applyFont="1" applyBorder="1" applyAlignment="1">
      <alignment horizontal="left" vertical="center" wrapText="1" indent="1"/>
    </xf>
    <xf numFmtId="0" fontId="763" fillId="0" borderId="1" xfId="0" applyFont="1" applyBorder="1" applyAlignment="1">
      <alignment horizontal="left" vertical="center" wrapText="1" indent="1"/>
    </xf>
    <xf numFmtId="0" fontId="764" fillId="0" borderId="1" xfId="0" applyFont="1" applyBorder="1" applyAlignment="1">
      <alignment horizontal="left" vertical="center" wrapText="1" indent="1"/>
    </xf>
    <xf numFmtId="0" fontId="765" fillId="0" borderId="1" xfId="0" applyFont="1" applyBorder="1" applyAlignment="1">
      <alignment horizontal="left" vertical="center" wrapText="1" indent="1"/>
    </xf>
    <xf numFmtId="0" fontId="766" fillId="0" borderId="1" xfId="0" applyFont="1" applyBorder="1" applyAlignment="1">
      <alignment horizontal="left" vertical="center" wrapText="1" indent="1"/>
    </xf>
    <xf numFmtId="0" fontId="767" fillId="0" borderId="1" xfId="0" applyFont="1" applyBorder="1" applyAlignment="1">
      <alignment horizontal="left" vertical="center" wrapText="1" indent="1"/>
    </xf>
    <xf numFmtId="0" fontId="768" fillId="0" borderId="1" xfId="0" applyFont="1" applyBorder="1" applyAlignment="1">
      <alignment horizontal="left" vertical="center" wrapText="1" indent="1"/>
    </xf>
    <xf numFmtId="0" fontId="769" fillId="0" borderId="1" xfId="0" applyFont="1" applyBorder="1" applyAlignment="1">
      <alignment horizontal="left" vertical="center" wrapText="1" indent="1"/>
    </xf>
    <xf numFmtId="0" fontId="770" fillId="0" borderId="1" xfId="0" applyFont="1" applyBorder="1" applyAlignment="1">
      <alignment horizontal="left" vertical="center" wrapText="1" indent="1"/>
    </xf>
    <xf numFmtId="0" fontId="771" fillId="0" borderId="1" xfId="0" applyFont="1" applyBorder="1" applyAlignment="1">
      <alignment horizontal="left" vertical="center" wrapText="1" indent="1"/>
    </xf>
    <xf numFmtId="0" fontId="772" fillId="0" borderId="1" xfId="0" applyFont="1" applyBorder="1" applyAlignment="1">
      <alignment horizontal="left" vertical="center" wrapText="1" indent="1"/>
    </xf>
    <xf numFmtId="0" fontId="773" fillId="0" borderId="1" xfId="0" applyFont="1" applyBorder="1" applyAlignment="1">
      <alignment horizontal="left" vertical="center" wrapText="1" indent="1"/>
    </xf>
    <xf numFmtId="0" fontId="774" fillId="0" borderId="1" xfId="0" applyFont="1" applyBorder="1" applyAlignment="1">
      <alignment horizontal="left" vertical="center" wrapText="1" indent="1"/>
    </xf>
    <xf numFmtId="0" fontId="775" fillId="0" borderId="1" xfId="0" applyFont="1" applyBorder="1" applyAlignment="1">
      <alignment horizontal="left" vertical="center" wrapText="1" indent="1"/>
    </xf>
    <xf numFmtId="0" fontId="776" fillId="0" borderId="1" xfId="0" applyFont="1" applyBorder="1" applyAlignment="1">
      <alignment horizontal="left" vertical="center" wrapText="1" indent="1"/>
    </xf>
    <xf numFmtId="0" fontId="777" fillId="0" borderId="1" xfId="0" applyFont="1" applyBorder="1" applyAlignment="1">
      <alignment horizontal="left" vertical="center" wrapText="1" indent="1"/>
    </xf>
    <xf numFmtId="0" fontId="778" fillId="0" borderId="1" xfId="0" applyFont="1" applyBorder="1" applyAlignment="1">
      <alignment horizontal="left" vertical="center" wrapText="1" indent="1"/>
    </xf>
    <xf numFmtId="0" fontId="779" fillId="0" borderId="1" xfId="0" applyFont="1" applyBorder="1" applyAlignment="1">
      <alignment horizontal="left" vertical="center" wrapText="1" indent="1"/>
    </xf>
    <xf numFmtId="0" fontId="780" fillId="0" borderId="1" xfId="0" applyFont="1" applyBorder="1" applyAlignment="1">
      <alignment horizontal="left" vertical="center" wrapText="1" indent="1"/>
    </xf>
    <xf numFmtId="0" fontId="781" fillId="0" borderId="1" xfId="0" applyFont="1" applyBorder="1" applyAlignment="1">
      <alignment horizontal="left" vertical="center" wrapText="1" indent="1"/>
    </xf>
    <xf numFmtId="0" fontId="782" fillId="0" borderId="1" xfId="0" applyFont="1" applyBorder="1" applyAlignment="1">
      <alignment horizontal="left" vertical="center" wrapText="1" indent="1"/>
    </xf>
    <xf numFmtId="0" fontId="783" fillId="0" borderId="1" xfId="0" applyFont="1" applyBorder="1" applyAlignment="1">
      <alignment horizontal="left" vertical="center" wrapText="1" indent="1"/>
    </xf>
    <xf numFmtId="0" fontId="784" fillId="0" borderId="1" xfId="0" applyFont="1" applyBorder="1" applyAlignment="1">
      <alignment horizontal="left" vertical="center" wrapText="1" indent="1"/>
    </xf>
    <xf numFmtId="0" fontId="785" fillId="0" borderId="1" xfId="0" applyFont="1" applyBorder="1" applyAlignment="1">
      <alignment horizontal="left" vertical="center" wrapText="1" indent="1"/>
    </xf>
    <xf numFmtId="0" fontId="786" fillId="0" borderId="1" xfId="0" applyFont="1" applyBorder="1" applyAlignment="1">
      <alignment horizontal="left" vertical="center" wrapText="1" indent="1"/>
    </xf>
    <xf numFmtId="0" fontId="787" fillId="0" borderId="1" xfId="0" applyFont="1" applyBorder="1" applyAlignment="1">
      <alignment horizontal="left" vertical="center" wrapText="1" indent="1"/>
    </xf>
    <xf numFmtId="0" fontId="788" fillId="0" borderId="1" xfId="0" applyFont="1" applyBorder="1" applyAlignment="1">
      <alignment horizontal="left" vertical="center" wrapText="1" indent="1"/>
    </xf>
    <xf numFmtId="0" fontId="789" fillId="0" borderId="1" xfId="0" applyFont="1" applyBorder="1" applyAlignment="1">
      <alignment horizontal="left" vertical="center" wrapText="1" indent="1"/>
    </xf>
    <xf numFmtId="0" fontId="790" fillId="0" borderId="1" xfId="0" applyFont="1" applyBorder="1" applyAlignment="1">
      <alignment horizontal="left" vertical="center" wrapText="1" indent="1"/>
    </xf>
    <xf numFmtId="0" fontId="791" fillId="0" borderId="1" xfId="0" applyFont="1" applyBorder="1" applyAlignment="1">
      <alignment horizontal="left" vertical="center" wrapText="1" indent="1"/>
    </xf>
    <xf numFmtId="0" fontId="792" fillId="0" borderId="1" xfId="0" applyFont="1" applyBorder="1" applyAlignment="1">
      <alignment horizontal="left" vertical="center" wrapText="1" indent="1"/>
    </xf>
    <xf numFmtId="0" fontId="793" fillId="0" borderId="1" xfId="0" applyFont="1" applyBorder="1" applyAlignment="1">
      <alignment horizontal="left" vertical="center" wrapText="1" indent="1"/>
    </xf>
    <xf numFmtId="0" fontId="794" fillId="0" borderId="1" xfId="0" applyFont="1" applyBorder="1" applyAlignment="1">
      <alignment horizontal="left" vertical="center" wrapText="1" indent="1"/>
    </xf>
    <xf numFmtId="0" fontId="795" fillId="0" borderId="1" xfId="0" applyFont="1" applyBorder="1" applyAlignment="1">
      <alignment horizontal="left" vertical="center" wrapText="1" indent="1"/>
    </xf>
    <xf numFmtId="0" fontId="796" fillId="0" borderId="1" xfId="0" applyFont="1" applyBorder="1" applyAlignment="1">
      <alignment horizontal="left" vertical="center" wrapText="1" indent="1"/>
    </xf>
    <xf numFmtId="0" fontId="797" fillId="0" borderId="1" xfId="0" applyFont="1" applyBorder="1" applyAlignment="1">
      <alignment horizontal="left" vertical="center" wrapText="1" indent="1"/>
    </xf>
    <xf numFmtId="0" fontId="798" fillId="0" borderId="1" xfId="0" applyFont="1" applyBorder="1" applyAlignment="1">
      <alignment horizontal="left" vertical="center" wrapText="1" indent="1"/>
    </xf>
    <xf numFmtId="0" fontId="799" fillId="0" borderId="1" xfId="0" applyFont="1" applyBorder="1" applyAlignment="1">
      <alignment horizontal="left" vertical="center" wrapText="1" indent="1"/>
    </xf>
    <xf numFmtId="0" fontId="800" fillId="0" borderId="1" xfId="0" applyFont="1" applyBorder="1" applyAlignment="1">
      <alignment horizontal="left" vertical="center" wrapText="1" indent="1"/>
    </xf>
    <xf numFmtId="0" fontId="801" fillId="0" borderId="1" xfId="0" applyFont="1" applyBorder="1" applyAlignment="1">
      <alignment horizontal="left" vertical="center" wrapText="1" indent="1"/>
    </xf>
    <xf numFmtId="0" fontId="802" fillId="0" borderId="1" xfId="0" applyFont="1" applyBorder="1" applyAlignment="1">
      <alignment horizontal="left" vertical="center" wrapText="1" indent="1"/>
    </xf>
    <xf numFmtId="0" fontId="803" fillId="0" borderId="1" xfId="0" applyFont="1" applyBorder="1" applyAlignment="1">
      <alignment horizontal="left" vertical="center" wrapText="1" indent="1"/>
    </xf>
    <xf numFmtId="0" fontId="804" fillId="0" borderId="1" xfId="0" applyFont="1" applyBorder="1" applyAlignment="1">
      <alignment horizontal="left" vertical="center" wrapText="1" indent="1"/>
    </xf>
    <xf numFmtId="0" fontId="805" fillId="0" borderId="1" xfId="0" applyFont="1" applyBorder="1" applyAlignment="1">
      <alignment horizontal="left" vertical="center" wrapText="1" indent="1"/>
    </xf>
    <xf numFmtId="0" fontId="806" fillId="0" borderId="1" xfId="0" applyFont="1" applyBorder="1" applyAlignment="1">
      <alignment horizontal="left" vertical="center" wrapText="1" indent="1"/>
    </xf>
    <xf numFmtId="0" fontId="807" fillId="0" borderId="1" xfId="0" applyFont="1" applyBorder="1" applyAlignment="1">
      <alignment horizontal="left" vertical="center" wrapText="1" indent="1"/>
    </xf>
    <xf numFmtId="0" fontId="808" fillId="0" borderId="1" xfId="0" applyFont="1" applyBorder="1" applyAlignment="1">
      <alignment horizontal="left" vertical="center" wrapText="1" indent="1"/>
    </xf>
    <xf numFmtId="0" fontId="809" fillId="0" borderId="1" xfId="0" applyFont="1" applyBorder="1" applyAlignment="1">
      <alignment horizontal="left" vertical="center" wrapText="1" indent="1"/>
    </xf>
    <xf numFmtId="0" fontId="810" fillId="0" borderId="1" xfId="0" applyFont="1" applyBorder="1" applyAlignment="1">
      <alignment horizontal="left" vertical="center" wrapText="1" indent="1"/>
    </xf>
    <xf numFmtId="0" fontId="811" fillId="0" borderId="1" xfId="0" applyFont="1" applyBorder="1" applyAlignment="1">
      <alignment horizontal="left" vertical="center" wrapText="1" indent="1"/>
    </xf>
    <xf numFmtId="0" fontId="812" fillId="0" borderId="1" xfId="0" applyFont="1" applyBorder="1" applyAlignment="1">
      <alignment horizontal="left" vertical="center" wrapText="1" indent="1"/>
    </xf>
    <xf numFmtId="0" fontId="813" fillId="0" borderId="1" xfId="0" applyFont="1" applyBorder="1" applyAlignment="1">
      <alignment horizontal="left" vertical="center" wrapText="1" indent="1"/>
    </xf>
    <xf numFmtId="0" fontId="814" fillId="0" borderId="1" xfId="0" applyFont="1" applyBorder="1" applyAlignment="1">
      <alignment horizontal="left" vertical="center" wrapText="1" indent="1"/>
    </xf>
    <xf numFmtId="0" fontId="815" fillId="0" borderId="1" xfId="0" applyFont="1" applyBorder="1" applyAlignment="1">
      <alignment horizontal="left" vertical="center" wrapText="1" indent="1"/>
    </xf>
    <xf numFmtId="0" fontId="816" fillId="0" borderId="1" xfId="0" applyFont="1" applyBorder="1" applyAlignment="1">
      <alignment horizontal="left" vertical="center" wrapText="1" indent="1"/>
    </xf>
    <xf numFmtId="0" fontId="817" fillId="0" borderId="1" xfId="0" applyFont="1" applyBorder="1" applyAlignment="1">
      <alignment horizontal="left" vertical="center" wrapText="1" indent="1"/>
    </xf>
    <xf numFmtId="0" fontId="818" fillId="0" borderId="1" xfId="0" applyFont="1" applyBorder="1" applyAlignment="1">
      <alignment horizontal="left" vertical="center" wrapText="1" indent="1"/>
    </xf>
    <xf numFmtId="0" fontId="819" fillId="0" borderId="1" xfId="0" applyFont="1" applyBorder="1" applyAlignment="1">
      <alignment horizontal="left" vertical="center" wrapText="1" indent="1"/>
    </xf>
    <xf numFmtId="0" fontId="820" fillId="0" borderId="1" xfId="0" applyFont="1" applyBorder="1" applyAlignment="1">
      <alignment horizontal="left" vertical="center" wrapText="1" indent="1"/>
    </xf>
    <xf numFmtId="0" fontId="821" fillId="0" borderId="1" xfId="0" applyFont="1" applyBorder="1" applyAlignment="1">
      <alignment horizontal="left" vertical="center" wrapText="1" indent="1"/>
    </xf>
    <xf numFmtId="0" fontId="822" fillId="0" borderId="1" xfId="0" applyFont="1" applyBorder="1" applyAlignment="1">
      <alignment horizontal="left" vertical="center" wrapText="1" indent="1"/>
    </xf>
    <xf numFmtId="0" fontId="823" fillId="0" borderId="1" xfId="0" applyFont="1" applyBorder="1" applyAlignment="1">
      <alignment horizontal="left" vertical="center" wrapText="1" indent="1"/>
    </xf>
    <xf numFmtId="0" fontId="824" fillId="0" borderId="1" xfId="0" applyFont="1" applyBorder="1" applyAlignment="1">
      <alignment horizontal="left" vertical="center" wrapText="1" indent="1"/>
    </xf>
    <xf numFmtId="0" fontId="825" fillId="0" borderId="1" xfId="0" applyFont="1" applyBorder="1" applyAlignment="1">
      <alignment horizontal="left" vertical="center" wrapText="1" indent="1"/>
    </xf>
    <xf numFmtId="0" fontId="826" fillId="0" borderId="1" xfId="0" applyFont="1" applyBorder="1" applyAlignment="1">
      <alignment horizontal="left" vertical="center" wrapText="1" indent="1"/>
    </xf>
    <xf numFmtId="0" fontId="827" fillId="0" borderId="1" xfId="0" applyFont="1" applyBorder="1" applyAlignment="1">
      <alignment horizontal="left" vertical="center" wrapText="1" indent="1"/>
    </xf>
    <xf numFmtId="0" fontId="828" fillId="0" borderId="1" xfId="0" applyFont="1" applyBorder="1" applyAlignment="1">
      <alignment horizontal="left" vertical="center" wrapText="1" indent="1"/>
    </xf>
    <xf numFmtId="0" fontId="829" fillId="0" borderId="1" xfId="0" applyFont="1" applyBorder="1" applyAlignment="1">
      <alignment horizontal="left" vertical="center" wrapText="1" indent="1"/>
    </xf>
    <xf numFmtId="0" fontId="830" fillId="0" borderId="1" xfId="0" applyFont="1" applyBorder="1" applyAlignment="1">
      <alignment horizontal="left" vertical="center" wrapText="1" indent="1"/>
    </xf>
    <xf numFmtId="0" fontId="831" fillId="0" borderId="1" xfId="0" applyFont="1" applyBorder="1" applyAlignment="1">
      <alignment horizontal="left" vertical="center" wrapText="1" indent="1"/>
    </xf>
    <xf numFmtId="0" fontId="832" fillId="0" borderId="1" xfId="0" applyFont="1" applyBorder="1" applyAlignment="1">
      <alignment horizontal="left" vertical="center" wrapText="1" indent="1"/>
    </xf>
    <xf numFmtId="0" fontId="833" fillId="0" borderId="1" xfId="0" applyFont="1" applyBorder="1" applyAlignment="1">
      <alignment horizontal="left" vertical="center" wrapText="1" indent="1"/>
    </xf>
    <xf numFmtId="0" fontId="834" fillId="0" borderId="1" xfId="0" applyFont="1" applyBorder="1" applyAlignment="1">
      <alignment horizontal="left" vertical="center" wrapText="1" indent="1"/>
    </xf>
    <xf numFmtId="0" fontId="835" fillId="0" borderId="1" xfId="0" applyFont="1" applyBorder="1" applyAlignment="1">
      <alignment horizontal="left" vertical="center" wrapText="1" indent="1"/>
    </xf>
    <xf numFmtId="0" fontId="836" fillId="0" borderId="1" xfId="0" applyFont="1" applyBorder="1" applyAlignment="1">
      <alignment horizontal="left" vertical="center" wrapText="1" indent="1"/>
    </xf>
    <xf numFmtId="0" fontId="837" fillId="0" borderId="1" xfId="0" applyFont="1" applyBorder="1" applyAlignment="1">
      <alignment horizontal="left" vertical="center" wrapText="1" indent="1"/>
    </xf>
    <xf numFmtId="0" fontId="838" fillId="0" borderId="1" xfId="0" applyFont="1" applyBorder="1" applyAlignment="1">
      <alignment horizontal="left" vertical="center" wrapText="1" indent="1"/>
    </xf>
    <xf numFmtId="0" fontId="839" fillId="0" borderId="1" xfId="0" applyFont="1" applyBorder="1" applyAlignment="1">
      <alignment horizontal="left" vertical="center" wrapText="1" indent="1"/>
    </xf>
    <xf numFmtId="0" fontId="840" fillId="0" borderId="1" xfId="0" applyFont="1" applyBorder="1" applyAlignment="1">
      <alignment horizontal="left" vertical="center" wrapText="1" indent="1"/>
    </xf>
    <xf numFmtId="0" fontId="841" fillId="0" borderId="1" xfId="0" applyFont="1" applyBorder="1" applyAlignment="1">
      <alignment horizontal="left" vertical="center" wrapText="1" indent="1"/>
    </xf>
    <xf numFmtId="0" fontId="842" fillId="0" borderId="1" xfId="0" applyFont="1" applyBorder="1" applyAlignment="1">
      <alignment horizontal="left" vertical="center" wrapText="1" indent="1"/>
    </xf>
    <xf numFmtId="0" fontId="843" fillId="0" borderId="1" xfId="0" applyFont="1" applyBorder="1" applyAlignment="1">
      <alignment horizontal="left" vertical="center" wrapText="1" indent="1"/>
    </xf>
    <xf numFmtId="0" fontId="844" fillId="0" borderId="1" xfId="0" applyFont="1" applyBorder="1" applyAlignment="1">
      <alignment horizontal="left" vertical="center" wrapText="1" indent="1"/>
    </xf>
    <xf numFmtId="0" fontId="845" fillId="0" borderId="1" xfId="0" applyFont="1" applyBorder="1" applyAlignment="1">
      <alignment horizontal="left" vertical="center" wrapText="1" indent="1"/>
    </xf>
    <xf numFmtId="0" fontId="846" fillId="0" borderId="1" xfId="0" applyFont="1" applyBorder="1" applyAlignment="1">
      <alignment horizontal="left" vertical="center" wrapText="1" indent="1"/>
    </xf>
    <xf numFmtId="0" fontId="847" fillId="0" borderId="1" xfId="0" applyFont="1" applyBorder="1" applyAlignment="1">
      <alignment horizontal="left" vertical="center" wrapText="1" indent="1"/>
    </xf>
    <xf numFmtId="0" fontId="848" fillId="0" borderId="1" xfId="0" applyFont="1" applyBorder="1" applyAlignment="1">
      <alignment horizontal="left" vertical="center" wrapText="1" indent="1"/>
    </xf>
    <xf numFmtId="0" fontId="849" fillId="0" borderId="1" xfId="0" applyFont="1" applyBorder="1" applyAlignment="1">
      <alignment horizontal="left" vertical="center" wrapText="1" indent="1"/>
    </xf>
    <xf numFmtId="0" fontId="850" fillId="0" borderId="1" xfId="0" applyFont="1" applyBorder="1" applyAlignment="1">
      <alignment horizontal="left" vertical="center" wrapText="1" indent="1"/>
    </xf>
    <xf numFmtId="0" fontId="851" fillId="0" borderId="1" xfId="0" applyFont="1" applyBorder="1" applyAlignment="1">
      <alignment horizontal="left" vertical="center" wrapText="1" indent="1"/>
    </xf>
    <xf numFmtId="0" fontId="852" fillId="0" borderId="1" xfId="0" applyFont="1" applyBorder="1" applyAlignment="1">
      <alignment horizontal="left" vertical="center" wrapText="1" indent="1"/>
    </xf>
    <xf numFmtId="0" fontId="853" fillId="0" borderId="1" xfId="0" applyFont="1" applyBorder="1" applyAlignment="1">
      <alignment horizontal="left" vertical="center" wrapText="1" indent="1"/>
    </xf>
    <xf numFmtId="0" fontId="854" fillId="0" borderId="1" xfId="0" applyFont="1" applyBorder="1" applyAlignment="1">
      <alignment horizontal="left" vertical="center" wrapText="1" indent="1"/>
    </xf>
    <xf numFmtId="0" fontId="855" fillId="0" borderId="1" xfId="0" applyFont="1" applyBorder="1" applyAlignment="1">
      <alignment horizontal="left" vertical="center" wrapText="1" indent="1"/>
    </xf>
    <xf numFmtId="0" fontId="856" fillId="0" borderId="1" xfId="0" applyFont="1" applyBorder="1" applyAlignment="1">
      <alignment horizontal="left" vertical="center" wrapText="1" indent="1"/>
    </xf>
    <xf numFmtId="0" fontId="857" fillId="0" borderId="1" xfId="0" applyFont="1" applyBorder="1" applyAlignment="1">
      <alignment horizontal="left" vertical="center" wrapText="1" indent="1"/>
    </xf>
    <xf numFmtId="0" fontId="858" fillId="0" borderId="1" xfId="0" applyFont="1" applyBorder="1" applyAlignment="1">
      <alignment horizontal="left" vertical="center" wrapText="1" indent="1"/>
    </xf>
    <xf numFmtId="0" fontId="859" fillId="0" borderId="1" xfId="0" applyFont="1" applyBorder="1" applyAlignment="1">
      <alignment horizontal="left" vertical="center" wrapText="1" indent="1"/>
    </xf>
    <xf numFmtId="0" fontId="860" fillId="0" borderId="1" xfId="0" applyFont="1" applyBorder="1" applyAlignment="1">
      <alignment horizontal="left" vertical="center" wrapText="1" indent="1"/>
    </xf>
    <xf numFmtId="0" fontId="861" fillId="0" borderId="1" xfId="0" applyFont="1" applyBorder="1" applyAlignment="1">
      <alignment horizontal="left" vertical="center" wrapText="1" indent="1"/>
    </xf>
    <xf numFmtId="0" fontId="862" fillId="0" borderId="1" xfId="0" applyFont="1" applyBorder="1" applyAlignment="1">
      <alignment horizontal="left" vertical="center" wrapText="1" indent="1"/>
    </xf>
    <xf numFmtId="0" fontId="863" fillId="0" borderId="1" xfId="0" applyFont="1" applyBorder="1" applyAlignment="1">
      <alignment horizontal="left" vertical="center" wrapText="1" indent="1"/>
    </xf>
    <xf numFmtId="0" fontId="864" fillId="0" borderId="1" xfId="0" applyFont="1" applyBorder="1" applyAlignment="1">
      <alignment horizontal="left" vertical="center" wrapText="1" indent="1"/>
    </xf>
    <xf numFmtId="0" fontId="865" fillId="0" borderId="1" xfId="0" applyFont="1" applyBorder="1" applyAlignment="1">
      <alignment horizontal="left" vertical="center" wrapText="1" indent="1"/>
    </xf>
    <xf numFmtId="0" fontId="866" fillId="0" borderId="1" xfId="0" applyFont="1" applyBorder="1" applyAlignment="1">
      <alignment horizontal="left" vertical="center" wrapText="1" indent="1"/>
    </xf>
    <xf numFmtId="0" fontId="867" fillId="0" borderId="1" xfId="0" applyFont="1" applyBorder="1" applyAlignment="1">
      <alignment horizontal="left" vertical="center" wrapText="1" indent="1"/>
    </xf>
    <xf numFmtId="0" fontId="868" fillId="0" borderId="1" xfId="0" applyFont="1" applyBorder="1" applyAlignment="1">
      <alignment horizontal="left" vertical="center" wrapText="1" indent="1"/>
    </xf>
    <xf numFmtId="0" fontId="869" fillId="0" borderId="1" xfId="0" applyFont="1" applyBorder="1" applyAlignment="1">
      <alignment horizontal="left" vertical="center" wrapText="1" indent="1"/>
    </xf>
    <xf numFmtId="0" fontId="870" fillId="0" borderId="1" xfId="0" applyFont="1" applyBorder="1" applyAlignment="1">
      <alignment horizontal="left" vertical="center" wrapText="1" indent="1"/>
    </xf>
    <xf numFmtId="0" fontId="871" fillId="0" borderId="1" xfId="0" applyFont="1" applyBorder="1" applyAlignment="1">
      <alignment horizontal="left" vertical="center" wrapText="1" indent="1"/>
    </xf>
    <xf numFmtId="0" fontId="872" fillId="0" borderId="1" xfId="0" applyFont="1" applyBorder="1" applyAlignment="1">
      <alignment horizontal="left" vertical="center" wrapText="1" indent="1"/>
    </xf>
    <xf numFmtId="0" fontId="873" fillId="0" borderId="1" xfId="0" applyFont="1" applyBorder="1" applyAlignment="1">
      <alignment horizontal="left" vertical="center" wrapText="1" indent="1"/>
    </xf>
    <xf numFmtId="0" fontId="874" fillId="0" borderId="1" xfId="0" applyFont="1" applyBorder="1" applyAlignment="1">
      <alignment horizontal="left" vertical="center" wrapText="1" indent="1"/>
    </xf>
    <xf numFmtId="0" fontId="875" fillId="0" borderId="1" xfId="0" applyFont="1" applyBorder="1" applyAlignment="1">
      <alignment horizontal="left" vertical="center" wrapText="1" indent="1"/>
    </xf>
    <xf numFmtId="0" fontId="876" fillId="0" borderId="1" xfId="0" applyFont="1" applyBorder="1" applyAlignment="1">
      <alignment horizontal="left" vertical="center" wrapText="1" indent="1"/>
    </xf>
    <xf numFmtId="0" fontId="877" fillId="0" borderId="1" xfId="0" applyFont="1" applyBorder="1" applyAlignment="1">
      <alignment horizontal="left" vertical="center" wrapText="1" indent="1"/>
    </xf>
    <xf numFmtId="0" fontId="878" fillId="0" borderId="1" xfId="0" applyFont="1" applyBorder="1" applyAlignment="1">
      <alignment horizontal="left" vertical="center" wrapText="1" indent="1"/>
    </xf>
    <xf numFmtId="0" fontId="879" fillId="0" borderId="1" xfId="0" applyFont="1" applyBorder="1" applyAlignment="1">
      <alignment horizontal="left" vertical="center" wrapText="1" indent="1"/>
    </xf>
    <xf numFmtId="0" fontId="880" fillId="0" borderId="1" xfId="0" applyFont="1" applyBorder="1" applyAlignment="1">
      <alignment horizontal="left" vertical="center" wrapText="1" indent="1"/>
    </xf>
    <xf numFmtId="0" fontId="881" fillId="0" borderId="1" xfId="0" applyFont="1" applyBorder="1" applyAlignment="1">
      <alignment horizontal="left" vertical="center" wrapText="1" indent="1"/>
    </xf>
    <xf numFmtId="0" fontId="882" fillId="0" borderId="1" xfId="0" applyFont="1" applyBorder="1" applyAlignment="1">
      <alignment horizontal="left" vertical="center" wrapText="1" indent="1"/>
    </xf>
    <xf numFmtId="0" fontId="883" fillId="0" borderId="1" xfId="0" applyFont="1" applyBorder="1" applyAlignment="1">
      <alignment horizontal="left" vertical="center" wrapText="1" indent="1"/>
    </xf>
    <xf numFmtId="0" fontId="884" fillId="0" borderId="1" xfId="0" applyFont="1" applyBorder="1" applyAlignment="1">
      <alignment horizontal="left" vertical="center" wrapText="1" indent="1"/>
    </xf>
    <xf numFmtId="0" fontId="885" fillId="0" borderId="1" xfId="0" applyFont="1" applyBorder="1" applyAlignment="1">
      <alignment horizontal="left" vertical="center" wrapText="1" indent="1"/>
    </xf>
    <xf numFmtId="0" fontId="886" fillId="0" borderId="1" xfId="0" applyFont="1" applyBorder="1" applyAlignment="1">
      <alignment horizontal="left" vertical="center" wrapText="1" indent="1"/>
    </xf>
    <xf numFmtId="0" fontId="887" fillId="0" borderId="1" xfId="0" applyFont="1" applyBorder="1" applyAlignment="1">
      <alignment horizontal="left" vertical="center" wrapText="1" indent="1"/>
    </xf>
    <xf numFmtId="0" fontId="888" fillId="0" borderId="1" xfId="0" applyFont="1" applyBorder="1" applyAlignment="1">
      <alignment horizontal="left" vertical="center" wrapText="1" indent="1"/>
    </xf>
    <xf numFmtId="0" fontId="889" fillId="0" borderId="1" xfId="0" applyFont="1" applyBorder="1" applyAlignment="1">
      <alignment horizontal="left" vertical="center" wrapText="1" indent="1"/>
    </xf>
    <xf numFmtId="0" fontId="890" fillId="0" borderId="1" xfId="0" applyFont="1" applyBorder="1" applyAlignment="1">
      <alignment horizontal="left" vertical="center" wrapText="1" indent="1"/>
    </xf>
    <xf numFmtId="0" fontId="891" fillId="0" borderId="1" xfId="0" applyFont="1" applyBorder="1" applyAlignment="1">
      <alignment horizontal="left" vertical="center" wrapText="1" indent="1"/>
    </xf>
    <xf numFmtId="0" fontId="892" fillId="0" borderId="1" xfId="0" applyFont="1" applyBorder="1" applyAlignment="1">
      <alignment horizontal="left" vertical="center" wrapText="1" indent="1"/>
    </xf>
    <xf numFmtId="0" fontId="893" fillId="0" borderId="1" xfId="0" applyFont="1" applyBorder="1" applyAlignment="1">
      <alignment horizontal="left" vertical="center" wrapText="1" indent="1"/>
    </xf>
    <xf numFmtId="0" fontId="894" fillId="0" borderId="1" xfId="0" applyFont="1" applyBorder="1" applyAlignment="1">
      <alignment horizontal="left" vertical="center" wrapText="1" indent="1"/>
    </xf>
    <xf numFmtId="0" fontId="895" fillId="0" borderId="1" xfId="0" applyFont="1" applyBorder="1" applyAlignment="1">
      <alignment horizontal="left" vertical="center" wrapText="1" indent="1"/>
    </xf>
    <xf numFmtId="0" fontId="896" fillId="0" borderId="1" xfId="0" applyFont="1" applyBorder="1" applyAlignment="1">
      <alignment horizontal="left" vertical="center" wrapText="1" indent="1"/>
    </xf>
    <xf numFmtId="0" fontId="897" fillId="0" borderId="1" xfId="0" applyFont="1" applyBorder="1" applyAlignment="1">
      <alignment horizontal="left" vertical="center" wrapText="1" indent="1"/>
    </xf>
    <xf numFmtId="0" fontId="898" fillId="0" borderId="1" xfId="0" applyFont="1" applyBorder="1" applyAlignment="1">
      <alignment horizontal="left" vertical="center" wrapText="1" indent="1"/>
    </xf>
    <xf numFmtId="0" fontId="899" fillId="0" borderId="1" xfId="0" applyFont="1" applyBorder="1" applyAlignment="1">
      <alignment horizontal="left" vertical="center" wrapText="1" indent="1"/>
    </xf>
    <xf numFmtId="0" fontId="900" fillId="0" borderId="1" xfId="0" applyFont="1" applyBorder="1" applyAlignment="1">
      <alignment horizontal="left" vertical="center" wrapText="1" indent="1"/>
    </xf>
    <xf numFmtId="0" fontId="901" fillId="0" borderId="1" xfId="0" applyFont="1" applyBorder="1" applyAlignment="1">
      <alignment horizontal="left" vertical="center" wrapText="1" indent="1"/>
    </xf>
    <xf numFmtId="0" fontId="902" fillId="0" borderId="1" xfId="0" applyFont="1" applyBorder="1" applyAlignment="1">
      <alignment horizontal="left" vertical="center" wrapText="1" indent="1"/>
    </xf>
    <xf numFmtId="0" fontId="903" fillId="0" borderId="1" xfId="0" applyFont="1" applyBorder="1" applyAlignment="1">
      <alignment horizontal="left" vertical="center" wrapText="1" indent="1"/>
    </xf>
    <xf numFmtId="0" fontId="904" fillId="0" borderId="1" xfId="0" applyFont="1" applyBorder="1" applyAlignment="1">
      <alignment horizontal="left" vertical="center" wrapText="1" indent="1"/>
    </xf>
    <xf numFmtId="0" fontId="905" fillId="0" borderId="1" xfId="0" applyFont="1" applyBorder="1" applyAlignment="1">
      <alignment horizontal="left" vertical="center" wrapText="1" indent="1"/>
    </xf>
    <xf numFmtId="0" fontId="906" fillId="0" borderId="1" xfId="0" applyFont="1" applyBorder="1" applyAlignment="1">
      <alignment horizontal="left" vertical="center" wrapText="1" indent="1"/>
    </xf>
    <xf numFmtId="0" fontId="907" fillId="0" borderId="1" xfId="0" applyFont="1" applyBorder="1" applyAlignment="1">
      <alignment horizontal="left" vertical="center" wrapText="1" indent="1"/>
    </xf>
    <xf numFmtId="0" fontId="908" fillId="0" borderId="1" xfId="0" applyFont="1" applyBorder="1" applyAlignment="1">
      <alignment horizontal="left" vertical="center" wrapText="1" indent="1"/>
    </xf>
    <xf numFmtId="0" fontId="909" fillId="0" borderId="1" xfId="0" applyFont="1" applyBorder="1" applyAlignment="1">
      <alignment horizontal="left" vertical="center" wrapText="1" indent="1"/>
    </xf>
    <xf numFmtId="0" fontId="910" fillId="0" borderId="1" xfId="0" applyFont="1" applyBorder="1" applyAlignment="1">
      <alignment horizontal="left" vertical="center" wrapText="1" indent="1"/>
    </xf>
    <xf numFmtId="0" fontId="911" fillId="0" borderId="1" xfId="0" applyFont="1" applyBorder="1" applyAlignment="1">
      <alignment horizontal="left" vertical="center" wrapText="1" indent="1"/>
    </xf>
    <xf numFmtId="0" fontId="912" fillId="0" borderId="1" xfId="0" applyFont="1" applyBorder="1" applyAlignment="1">
      <alignment horizontal="left" vertical="center" wrapText="1" indent="1"/>
    </xf>
    <xf numFmtId="0" fontId="913" fillId="0" borderId="1" xfId="0" applyFont="1" applyBorder="1" applyAlignment="1">
      <alignment horizontal="left" vertical="center" wrapText="1" indent="1"/>
    </xf>
    <xf numFmtId="0" fontId="914" fillId="0" borderId="1" xfId="0" applyFont="1" applyBorder="1" applyAlignment="1">
      <alignment horizontal="left" vertical="center" wrapText="1" indent="1"/>
    </xf>
    <xf numFmtId="0" fontId="915" fillId="0" borderId="1" xfId="0" applyFont="1" applyBorder="1" applyAlignment="1">
      <alignment horizontal="left" vertical="center" wrapText="1" indent="1"/>
    </xf>
    <xf numFmtId="0" fontId="916" fillId="0" borderId="1" xfId="0" applyFont="1" applyBorder="1" applyAlignment="1">
      <alignment horizontal="left" vertical="center" wrapText="1" indent="1"/>
    </xf>
    <xf numFmtId="0" fontId="917" fillId="0" borderId="1" xfId="0" applyFont="1" applyBorder="1" applyAlignment="1">
      <alignment horizontal="left" vertical="center" wrapText="1" indent="1"/>
    </xf>
    <xf numFmtId="0" fontId="918" fillId="0" borderId="1" xfId="0" applyFont="1" applyBorder="1" applyAlignment="1">
      <alignment horizontal="left" vertical="center" wrapText="1" indent="1"/>
    </xf>
    <xf numFmtId="0" fontId="919" fillId="0" borderId="1" xfId="0" applyFont="1" applyBorder="1" applyAlignment="1">
      <alignment horizontal="left" vertical="center" wrapText="1" indent="1"/>
    </xf>
    <xf numFmtId="0" fontId="920" fillId="0" borderId="1" xfId="0" applyFont="1" applyBorder="1" applyAlignment="1">
      <alignment horizontal="left" vertical="center" wrapText="1" indent="1"/>
    </xf>
    <xf numFmtId="0" fontId="921" fillId="0" borderId="1" xfId="0" applyFont="1" applyBorder="1" applyAlignment="1">
      <alignment horizontal="left" vertical="center" wrapText="1" indent="1"/>
    </xf>
    <xf numFmtId="0" fontId="922" fillId="0" borderId="1" xfId="0" applyFont="1" applyBorder="1" applyAlignment="1">
      <alignment horizontal="left" vertical="center" wrapText="1" indent="1"/>
    </xf>
    <xf numFmtId="0" fontId="923" fillId="0" borderId="1" xfId="0" applyFont="1" applyBorder="1" applyAlignment="1">
      <alignment horizontal="left" vertical="center" wrapText="1" indent="1"/>
    </xf>
    <xf numFmtId="0" fontId="924" fillId="0" borderId="1" xfId="0" applyFont="1" applyBorder="1" applyAlignment="1">
      <alignment horizontal="left" vertical="center" wrapText="1" indent="1"/>
    </xf>
    <xf numFmtId="0" fontId="925" fillId="0" borderId="1" xfId="0" applyFont="1" applyBorder="1" applyAlignment="1">
      <alignment horizontal="left" vertical="center" wrapText="1" indent="1"/>
    </xf>
    <xf numFmtId="0" fontId="926" fillId="0" borderId="1" xfId="0" applyFont="1" applyBorder="1" applyAlignment="1">
      <alignment horizontal="left" vertical="center" wrapText="1" indent="1"/>
    </xf>
    <xf numFmtId="0" fontId="927" fillId="0" borderId="1" xfId="0" applyFont="1" applyBorder="1" applyAlignment="1">
      <alignment horizontal="left" vertical="center" wrapText="1" indent="1"/>
    </xf>
    <xf numFmtId="0" fontId="928" fillId="0" borderId="1" xfId="0" applyFont="1" applyBorder="1" applyAlignment="1">
      <alignment horizontal="left" vertical="center" wrapText="1" indent="1"/>
    </xf>
    <xf numFmtId="0" fontId="929" fillId="0" borderId="1" xfId="0" applyFont="1" applyBorder="1" applyAlignment="1">
      <alignment horizontal="left" vertical="center" wrapText="1" indent="1"/>
    </xf>
    <xf numFmtId="0" fontId="930" fillId="0" borderId="1" xfId="0" applyFont="1" applyBorder="1" applyAlignment="1">
      <alignment horizontal="left" vertical="center" wrapText="1" indent="1"/>
    </xf>
    <xf numFmtId="0" fontId="931" fillId="0" borderId="1" xfId="0" applyFont="1" applyBorder="1" applyAlignment="1">
      <alignment horizontal="left" vertical="center" wrapText="1" indent="1"/>
    </xf>
    <xf numFmtId="0" fontId="932" fillId="0" borderId="1" xfId="0" applyFont="1" applyBorder="1" applyAlignment="1">
      <alignment horizontal="left" vertical="center" wrapText="1" indent="1"/>
    </xf>
    <xf numFmtId="0" fontId="933" fillId="0" borderId="1" xfId="0" applyFont="1" applyBorder="1" applyAlignment="1">
      <alignment horizontal="left" vertical="center" wrapText="1" indent="1"/>
    </xf>
    <xf numFmtId="0" fontId="934" fillId="0" borderId="1" xfId="0" applyFont="1" applyBorder="1" applyAlignment="1">
      <alignment horizontal="left" vertical="center" wrapText="1" indent="1"/>
    </xf>
    <xf numFmtId="0" fontId="935" fillId="0" borderId="1" xfId="0" applyFont="1" applyBorder="1" applyAlignment="1">
      <alignment horizontal="left" vertical="center" wrapText="1" indent="1"/>
    </xf>
    <xf numFmtId="0" fontId="936" fillId="0" borderId="1" xfId="0" applyFont="1" applyBorder="1" applyAlignment="1">
      <alignment horizontal="left" vertical="center" wrapText="1" indent="1"/>
    </xf>
    <xf numFmtId="0" fontId="937" fillId="0" borderId="1" xfId="0" applyFont="1" applyBorder="1" applyAlignment="1">
      <alignment horizontal="left" vertical="center" wrapText="1" indent="1"/>
    </xf>
    <xf numFmtId="0" fontId="938" fillId="0" borderId="1" xfId="0" applyFont="1" applyBorder="1" applyAlignment="1">
      <alignment horizontal="left" vertical="center" wrapText="1" indent="1"/>
    </xf>
    <xf numFmtId="0" fontId="939" fillId="0" borderId="1" xfId="0" applyFont="1" applyBorder="1" applyAlignment="1">
      <alignment horizontal="left" vertical="center" wrapText="1" indent="1"/>
    </xf>
    <xf numFmtId="0" fontId="940" fillId="0" borderId="1" xfId="0" applyFont="1" applyBorder="1" applyAlignment="1">
      <alignment horizontal="left" vertical="center" wrapText="1" indent="1"/>
    </xf>
    <xf numFmtId="0" fontId="941" fillId="0" borderId="1" xfId="0" applyFont="1" applyBorder="1" applyAlignment="1">
      <alignment horizontal="left" vertical="center" wrapText="1" indent="1"/>
    </xf>
    <xf numFmtId="0" fontId="942" fillId="0" borderId="1" xfId="0" applyFont="1" applyBorder="1" applyAlignment="1">
      <alignment horizontal="left" vertical="center" wrapText="1" indent="1"/>
    </xf>
    <xf numFmtId="0" fontId="943" fillId="0" borderId="1" xfId="0" applyFont="1" applyBorder="1" applyAlignment="1">
      <alignment horizontal="left" vertical="center" wrapText="1" indent="1"/>
    </xf>
    <xf numFmtId="0" fontId="944" fillId="0" borderId="1" xfId="0" applyFont="1" applyBorder="1" applyAlignment="1">
      <alignment horizontal="left" vertical="center" wrapText="1" indent="1"/>
    </xf>
    <xf numFmtId="0" fontId="945" fillId="0" borderId="1" xfId="0" applyFont="1" applyBorder="1" applyAlignment="1">
      <alignment horizontal="left" vertical="center" wrapText="1" indent="1"/>
    </xf>
    <xf numFmtId="0" fontId="946" fillId="0" borderId="1" xfId="0" applyFont="1" applyBorder="1" applyAlignment="1">
      <alignment horizontal="left" vertical="center" wrapText="1" indent="1"/>
    </xf>
    <xf numFmtId="0" fontId="947" fillId="0" borderId="1" xfId="0" applyFont="1" applyBorder="1" applyAlignment="1">
      <alignment horizontal="left" vertical="center" wrapText="1" indent="1"/>
    </xf>
    <xf numFmtId="0" fontId="948" fillId="0" borderId="1" xfId="0" applyFont="1" applyBorder="1" applyAlignment="1">
      <alignment horizontal="left" vertical="center" wrapText="1" indent="1"/>
    </xf>
    <xf numFmtId="0" fontId="949" fillId="0" borderId="1" xfId="0" applyFont="1" applyBorder="1" applyAlignment="1">
      <alignment horizontal="left" vertical="center" wrapText="1" indent="1"/>
    </xf>
    <xf numFmtId="0" fontId="950" fillId="0" borderId="1" xfId="0" applyFont="1" applyBorder="1" applyAlignment="1">
      <alignment horizontal="left" vertical="center" wrapText="1" indent="1"/>
    </xf>
    <xf numFmtId="0" fontId="951" fillId="0" borderId="1" xfId="0" applyFont="1" applyBorder="1" applyAlignment="1">
      <alignment horizontal="left" vertical="center" wrapText="1" indent="1"/>
    </xf>
    <xf numFmtId="0" fontId="952" fillId="0" borderId="1" xfId="0" applyFont="1" applyBorder="1" applyAlignment="1">
      <alignment horizontal="left" vertical="center" wrapText="1" indent="1"/>
    </xf>
    <xf numFmtId="0" fontId="953" fillId="0" borderId="1" xfId="0" applyFont="1" applyBorder="1" applyAlignment="1">
      <alignment horizontal="left" vertical="center" wrapText="1" indent="1"/>
    </xf>
    <xf numFmtId="0" fontId="954" fillId="0" borderId="1" xfId="0" applyFont="1" applyBorder="1" applyAlignment="1">
      <alignment horizontal="left" vertical="center" wrapText="1" indent="1"/>
    </xf>
    <xf numFmtId="0" fontId="955" fillId="0" borderId="1" xfId="0" applyFont="1" applyBorder="1" applyAlignment="1">
      <alignment horizontal="left" vertical="center" wrapText="1" indent="1"/>
    </xf>
    <xf numFmtId="0" fontId="956" fillId="0" borderId="1" xfId="0" applyFont="1" applyBorder="1" applyAlignment="1">
      <alignment horizontal="left" vertical="center" wrapText="1" indent="1"/>
    </xf>
    <xf numFmtId="0" fontId="957" fillId="0" borderId="1" xfId="0" applyFont="1" applyBorder="1" applyAlignment="1">
      <alignment horizontal="left" vertical="center" wrapText="1" indent="1"/>
    </xf>
    <xf numFmtId="0" fontId="958" fillId="0" borderId="1" xfId="0" applyFont="1" applyBorder="1" applyAlignment="1">
      <alignment horizontal="left" vertical="center" wrapText="1" indent="1"/>
    </xf>
    <xf numFmtId="0" fontId="959" fillId="0" borderId="1" xfId="0" applyFont="1" applyBorder="1" applyAlignment="1">
      <alignment horizontal="left" vertical="center" wrapText="1" indent="1"/>
    </xf>
    <xf numFmtId="0" fontId="960" fillId="0" borderId="1" xfId="0" applyFont="1" applyBorder="1" applyAlignment="1">
      <alignment horizontal="left" vertical="center" wrapText="1" indent="1"/>
    </xf>
    <xf numFmtId="0" fontId="961" fillId="0" borderId="1" xfId="0" applyFont="1" applyBorder="1" applyAlignment="1">
      <alignment horizontal="left" vertical="center" wrapText="1" indent="1"/>
    </xf>
    <xf numFmtId="0" fontId="962" fillId="0" borderId="1" xfId="0" applyFont="1" applyBorder="1" applyAlignment="1">
      <alignment horizontal="left" vertical="center" wrapText="1" indent="1"/>
    </xf>
    <xf numFmtId="0" fontId="963" fillId="0" borderId="1" xfId="0" applyFont="1" applyBorder="1" applyAlignment="1">
      <alignment horizontal="left" vertical="center" wrapText="1" indent="1"/>
    </xf>
    <xf numFmtId="0" fontId="964" fillId="0" borderId="1" xfId="0" applyFont="1" applyBorder="1" applyAlignment="1">
      <alignment horizontal="left" vertical="center" wrapText="1" indent="1"/>
    </xf>
    <xf numFmtId="0" fontId="965" fillId="0" borderId="1" xfId="0" applyFont="1" applyBorder="1" applyAlignment="1">
      <alignment horizontal="left" vertical="center" wrapText="1" indent="1"/>
    </xf>
    <xf numFmtId="0" fontId="966" fillId="0" borderId="1" xfId="0" applyFont="1" applyBorder="1" applyAlignment="1">
      <alignment horizontal="left" vertical="center" wrapText="1" indent="1"/>
    </xf>
    <xf numFmtId="0" fontId="967" fillId="0" borderId="1" xfId="0" applyFont="1" applyBorder="1" applyAlignment="1">
      <alignment horizontal="left" vertical="center" wrapText="1" indent="1"/>
    </xf>
    <xf numFmtId="0" fontId="968" fillId="0" borderId="1" xfId="0" applyFont="1" applyBorder="1" applyAlignment="1">
      <alignment horizontal="left" vertical="center" wrapText="1" indent="1"/>
    </xf>
    <xf numFmtId="0" fontId="969" fillId="0" borderId="1" xfId="0" applyFont="1" applyBorder="1" applyAlignment="1">
      <alignment horizontal="left" vertical="center" wrapText="1" indent="1"/>
    </xf>
    <xf numFmtId="0" fontId="970" fillId="0" borderId="1" xfId="0" applyFont="1" applyBorder="1" applyAlignment="1">
      <alignment horizontal="left" vertical="center" wrapText="1" indent="1"/>
    </xf>
    <xf numFmtId="0" fontId="971" fillId="0" borderId="1" xfId="0" applyFont="1" applyBorder="1" applyAlignment="1">
      <alignment horizontal="left" vertical="center" wrapText="1" indent="1"/>
    </xf>
    <xf numFmtId="0" fontId="972" fillId="0" borderId="1" xfId="0" applyFont="1" applyBorder="1" applyAlignment="1">
      <alignment horizontal="left" vertical="center" wrapText="1" indent="1"/>
    </xf>
    <xf numFmtId="0" fontId="973" fillId="0" borderId="1" xfId="0" applyFont="1" applyBorder="1" applyAlignment="1">
      <alignment horizontal="left" vertical="center" wrapText="1" indent="1"/>
    </xf>
    <xf numFmtId="0" fontId="974" fillId="0" borderId="1" xfId="0" applyFont="1" applyBorder="1" applyAlignment="1">
      <alignment horizontal="left" vertical="center" wrapText="1" indent="1"/>
    </xf>
    <xf numFmtId="0" fontId="975" fillId="0" borderId="1" xfId="0" applyFont="1" applyBorder="1" applyAlignment="1">
      <alignment horizontal="left" vertical="center" wrapText="1" indent="1"/>
    </xf>
    <xf numFmtId="0" fontId="976" fillId="0" borderId="1" xfId="0" applyFont="1" applyBorder="1" applyAlignment="1">
      <alignment horizontal="left" vertical="center" wrapText="1" indent="1"/>
    </xf>
    <xf numFmtId="0" fontId="977" fillId="0" borderId="1" xfId="0" applyFont="1" applyBorder="1" applyAlignment="1">
      <alignment horizontal="left" vertical="center" wrapText="1" indent="1"/>
    </xf>
    <xf numFmtId="0" fontId="978" fillId="0" borderId="1" xfId="0" applyFont="1" applyBorder="1" applyAlignment="1">
      <alignment horizontal="left" vertical="center" wrapText="1" indent="1"/>
    </xf>
    <xf numFmtId="0" fontId="979" fillId="0" borderId="1" xfId="0" applyFont="1" applyBorder="1" applyAlignment="1">
      <alignment horizontal="left" vertical="center" wrapText="1" indent="1"/>
    </xf>
    <xf numFmtId="0" fontId="980" fillId="0" borderId="1" xfId="0" applyFont="1" applyBorder="1" applyAlignment="1">
      <alignment horizontal="left" vertical="center" wrapText="1" indent="1"/>
    </xf>
    <xf numFmtId="0" fontId="981" fillId="0" borderId="1" xfId="0" applyFont="1" applyBorder="1" applyAlignment="1">
      <alignment horizontal="left" vertical="center" wrapText="1" indent="1"/>
    </xf>
    <xf numFmtId="0" fontId="982" fillId="0" borderId="1" xfId="0" applyFont="1" applyBorder="1" applyAlignment="1">
      <alignment horizontal="left" vertical="center" wrapText="1" indent="1"/>
    </xf>
    <xf numFmtId="0" fontId="983" fillId="0" borderId="1" xfId="0" applyFont="1" applyBorder="1" applyAlignment="1">
      <alignment horizontal="left" vertical="center" wrapText="1" indent="1"/>
    </xf>
    <xf numFmtId="0" fontId="984" fillId="0" borderId="1" xfId="0" applyFont="1" applyBorder="1" applyAlignment="1">
      <alignment horizontal="left" vertical="center" wrapText="1" indent="1"/>
    </xf>
    <xf numFmtId="0" fontId="985" fillId="0" borderId="1" xfId="0" applyFont="1" applyBorder="1" applyAlignment="1">
      <alignment horizontal="left" vertical="center" wrapText="1" indent="1"/>
    </xf>
    <xf numFmtId="0" fontId="986" fillId="0" borderId="1" xfId="0" applyFont="1" applyBorder="1" applyAlignment="1">
      <alignment horizontal="left" vertical="center" wrapText="1" indent="1"/>
    </xf>
    <xf numFmtId="0" fontId="987" fillId="0" borderId="1" xfId="0" applyFont="1" applyBorder="1" applyAlignment="1">
      <alignment horizontal="left" vertical="center" wrapText="1" indent="1"/>
    </xf>
    <xf numFmtId="0" fontId="988" fillId="0" borderId="1" xfId="0" applyFont="1" applyBorder="1" applyAlignment="1">
      <alignment horizontal="left" vertical="center" wrapText="1" indent="1"/>
    </xf>
    <xf numFmtId="0" fontId="989" fillId="0" borderId="1" xfId="0" applyFont="1" applyBorder="1" applyAlignment="1">
      <alignment horizontal="left" vertical="center" wrapText="1" indent="1"/>
    </xf>
    <xf numFmtId="0" fontId="990" fillId="0" borderId="1" xfId="0" applyFont="1" applyBorder="1" applyAlignment="1">
      <alignment horizontal="left" vertical="center" wrapText="1" indent="1"/>
    </xf>
    <xf numFmtId="0" fontId="991" fillId="0" borderId="1" xfId="0" applyFont="1" applyBorder="1" applyAlignment="1">
      <alignment horizontal="left" vertical="center" wrapText="1" indent="1"/>
    </xf>
    <xf numFmtId="0" fontId="992" fillId="0" borderId="1" xfId="0" applyFont="1" applyBorder="1" applyAlignment="1">
      <alignment horizontal="left" vertical="center" wrapText="1" indent="1"/>
    </xf>
    <xf numFmtId="0" fontId="993" fillId="0" borderId="1" xfId="0" applyFont="1" applyBorder="1" applyAlignment="1">
      <alignment horizontal="left" vertical="center" wrapText="1" indent="1"/>
    </xf>
    <xf numFmtId="0" fontId="994" fillId="0" borderId="1" xfId="0" applyFont="1" applyBorder="1" applyAlignment="1">
      <alignment horizontal="left" vertical="center" wrapText="1" indent="1"/>
    </xf>
    <xf numFmtId="0" fontId="995" fillId="0" borderId="1" xfId="0" applyFont="1" applyBorder="1" applyAlignment="1">
      <alignment horizontal="left" vertical="center" wrapText="1" indent="1"/>
    </xf>
    <xf numFmtId="0" fontId="996" fillId="0" borderId="1" xfId="0" applyFont="1" applyBorder="1" applyAlignment="1">
      <alignment horizontal="left" vertical="center" wrapText="1" indent="1"/>
    </xf>
    <xf numFmtId="0" fontId="997" fillId="0" borderId="1" xfId="0" applyFont="1" applyBorder="1" applyAlignment="1">
      <alignment horizontal="left" vertical="center" wrapText="1" indent="1"/>
    </xf>
    <xf numFmtId="0" fontId="998" fillId="0" borderId="1" xfId="0" applyFont="1" applyBorder="1" applyAlignment="1">
      <alignment horizontal="left" vertical="center" wrapText="1" indent="1"/>
    </xf>
    <xf numFmtId="0" fontId="999" fillId="0" borderId="1" xfId="0" applyFont="1" applyBorder="1" applyAlignment="1">
      <alignment horizontal="left" vertical="center" wrapText="1" indent="1"/>
    </xf>
    <xf numFmtId="0" fontId="1000" fillId="0" borderId="1" xfId="0" applyFont="1" applyBorder="1" applyAlignment="1">
      <alignment horizontal="left" vertical="center" wrapText="1" indent="1"/>
    </xf>
    <xf numFmtId="0" fontId="1001" fillId="0" borderId="1" xfId="0" applyFont="1" applyBorder="1" applyAlignment="1">
      <alignment horizontal="left" vertical="center" wrapText="1" indent="1"/>
    </xf>
    <xf numFmtId="0" fontId="1002" fillId="0" borderId="1" xfId="0" applyFont="1" applyBorder="1" applyAlignment="1">
      <alignment horizontal="left" vertical="center" wrapText="1" indent="1"/>
    </xf>
    <xf numFmtId="0" fontId="1003" fillId="0" borderId="1" xfId="0" applyFont="1" applyBorder="1" applyAlignment="1">
      <alignment horizontal="left" vertical="center" wrapText="1" indent="1"/>
    </xf>
    <xf numFmtId="0" fontId="1004" fillId="0" borderId="1" xfId="0" applyFont="1" applyBorder="1" applyAlignment="1">
      <alignment horizontal="left" vertical="center" wrapText="1" indent="1"/>
    </xf>
    <xf numFmtId="0" fontId="1005" fillId="0" borderId="1" xfId="0" applyFont="1" applyBorder="1" applyAlignment="1">
      <alignment horizontal="left" vertical="center" wrapText="1" indent="1"/>
    </xf>
    <xf numFmtId="0" fontId="1006" fillId="0" borderId="1" xfId="0" applyFont="1" applyBorder="1" applyAlignment="1">
      <alignment horizontal="left" vertical="center" wrapText="1" indent="1"/>
    </xf>
    <xf numFmtId="0" fontId="1007" fillId="0" borderId="1" xfId="0" applyFont="1" applyBorder="1" applyAlignment="1">
      <alignment horizontal="left" vertical="center" wrapText="1" indent="1"/>
    </xf>
    <xf numFmtId="0" fontId="1008" fillId="0" borderId="1" xfId="0" applyFont="1" applyBorder="1" applyAlignment="1">
      <alignment horizontal="left" vertical="center" wrapText="1" indent="1"/>
    </xf>
    <xf numFmtId="0" fontId="1009" fillId="0" borderId="1" xfId="0" applyFont="1" applyBorder="1" applyAlignment="1">
      <alignment horizontal="left" vertical="center" wrapText="1" indent="1"/>
    </xf>
    <xf numFmtId="0" fontId="1010" fillId="0" borderId="1" xfId="0" applyFont="1" applyBorder="1" applyAlignment="1">
      <alignment horizontal="left" vertical="center" wrapText="1" indent="1"/>
    </xf>
    <xf numFmtId="0" fontId="1011" fillId="0" borderId="1" xfId="0" applyFont="1" applyBorder="1" applyAlignment="1">
      <alignment horizontal="left" vertical="center" wrapText="1" indent="1"/>
    </xf>
    <xf numFmtId="0" fontId="1012" fillId="0" borderId="1" xfId="0" applyFont="1" applyBorder="1" applyAlignment="1">
      <alignment horizontal="left" vertical="center" wrapText="1" indent="1"/>
    </xf>
    <xf numFmtId="0" fontId="1013" fillId="0" borderId="1" xfId="0" applyFont="1" applyBorder="1" applyAlignment="1">
      <alignment horizontal="left" vertical="center" wrapText="1" indent="1"/>
    </xf>
    <xf numFmtId="0" fontId="1014" fillId="0" borderId="1" xfId="0" applyFont="1" applyBorder="1" applyAlignment="1">
      <alignment horizontal="left" vertical="center" wrapText="1" indent="1"/>
    </xf>
    <xf numFmtId="0" fontId="1015" fillId="0" borderId="1" xfId="0" applyFont="1" applyBorder="1" applyAlignment="1">
      <alignment horizontal="left" vertical="center" wrapText="1" indent="1"/>
    </xf>
    <xf numFmtId="0" fontId="1016" fillId="0" borderId="1" xfId="0" applyFont="1" applyBorder="1" applyAlignment="1">
      <alignment horizontal="left" vertical="center" wrapText="1" indent="1"/>
    </xf>
    <xf numFmtId="0" fontId="1017" fillId="0" borderId="1" xfId="0" applyFont="1" applyBorder="1" applyAlignment="1">
      <alignment horizontal="left" vertical="center" wrapText="1" indent="1"/>
    </xf>
    <xf numFmtId="0" fontId="1018" fillId="0" borderId="1" xfId="0" applyFont="1" applyBorder="1" applyAlignment="1">
      <alignment horizontal="left" vertical="center" wrapText="1" indent="1"/>
    </xf>
    <xf numFmtId="0" fontId="1019" fillId="0" borderId="1" xfId="0" applyFont="1" applyBorder="1" applyAlignment="1">
      <alignment horizontal="left" vertical="center" wrapText="1" indent="1"/>
    </xf>
    <xf numFmtId="0" fontId="1020" fillId="0" borderId="1" xfId="0" applyFont="1" applyBorder="1" applyAlignment="1">
      <alignment horizontal="left" vertical="center" wrapText="1" indent="1"/>
    </xf>
    <xf numFmtId="0" fontId="1021" fillId="0" borderId="1" xfId="0" applyFont="1" applyBorder="1" applyAlignment="1">
      <alignment horizontal="left" vertical="center" wrapText="1" indent="1"/>
    </xf>
    <xf numFmtId="0" fontId="1022" fillId="0" borderId="1" xfId="0" applyFont="1" applyBorder="1" applyAlignment="1">
      <alignment horizontal="left" vertical="center" wrapText="1" indent="1"/>
    </xf>
    <xf numFmtId="0" fontId="1023" fillId="0" borderId="1" xfId="0" applyFont="1" applyBorder="1" applyAlignment="1">
      <alignment horizontal="left" vertical="center" wrapText="1" indent="1"/>
    </xf>
    <xf numFmtId="0" fontId="1024" fillId="0" borderId="1" xfId="0" applyFont="1" applyBorder="1" applyAlignment="1">
      <alignment horizontal="left" vertical="center" wrapText="1" indent="1"/>
    </xf>
    <xf numFmtId="0" fontId="1025" fillId="0" borderId="1" xfId="0" applyFont="1" applyBorder="1" applyAlignment="1">
      <alignment horizontal="left" vertical="center" wrapText="1" indent="1"/>
    </xf>
    <xf numFmtId="0" fontId="1026" fillId="0" borderId="1" xfId="0" applyFont="1" applyBorder="1" applyAlignment="1">
      <alignment horizontal="left" vertical="center" wrapText="1" indent="1"/>
    </xf>
    <xf numFmtId="0" fontId="1027" fillId="0" borderId="1" xfId="0" applyFont="1" applyBorder="1" applyAlignment="1">
      <alignment horizontal="left" vertical="center" wrapText="1" indent="1"/>
    </xf>
    <xf numFmtId="0" fontId="1028" fillId="0" borderId="1" xfId="0" applyFont="1" applyBorder="1" applyAlignment="1">
      <alignment horizontal="left" vertical="center" wrapText="1" indent="1"/>
    </xf>
    <xf numFmtId="0" fontId="1029" fillId="0" borderId="1" xfId="0" applyFont="1" applyBorder="1" applyAlignment="1">
      <alignment horizontal="left" vertical="center" wrapText="1" indent="1"/>
    </xf>
    <xf numFmtId="0" fontId="1030" fillId="0" borderId="1" xfId="0" applyFont="1" applyBorder="1" applyAlignment="1">
      <alignment horizontal="left" vertical="center" wrapText="1" indent="1"/>
    </xf>
    <xf numFmtId="0" fontId="1031" fillId="0" borderId="1" xfId="0" applyFont="1" applyBorder="1" applyAlignment="1">
      <alignment horizontal="left" vertical="center" wrapText="1" indent="1"/>
    </xf>
    <xf numFmtId="0" fontId="1032" fillId="0" borderId="1" xfId="0" applyFont="1" applyBorder="1" applyAlignment="1">
      <alignment horizontal="left" vertical="center" wrapText="1" indent="1"/>
    </xf>
    <xf numFmtId="0" fontId="1033" fillId="0" borderId="1" xfId="0" applyFont="1" applyBorder="1" applyAlignment="1">
      <alignment horizontal="left" vertical="center" wrapText="1" indent="1"/>
    </xf>
    <xf numFmtId="0" fontId="1034" fillId="0" borderId="1" xfId="0" applyFont="1" applyBorder="1" applyAlignment="1">
      <alignment horizontal="left" vertical="center" wrapText="1" indent="1"/>
    </xf>
    <xf numFmtId="0" fontId="1035" fillId="0" borderId="1" xfId="0" applyFont="1" applyBorder="1" applyAlignment="1">
      <alignment horizontal="left" vertical="center" wrapText="1" indent="1"/>
    </xf>
    <xf numFmtId="0" fontId="1036" fillId="0" borderId="1" xfId="0" applyFont="1" applyBorder="1" applyAlignment="1">
      <alignment horizontal="left" vertical="center" wrapText="1" indent="1"/>
    </xf>
    <xf numFmtId="0" fontId="1037" fillId="0" borderId="1" xfId="0" applyFont="1" applyBorder="1" applyAlignment="1">
      <alignment horizontal="left" vertical="center" wrapText="1" indent="1"/>
    </xf>
    <xf numFmtId="0" fontId="1038" fillId="0" borderId="1" xfId="0" applyFont="1" applyBorder="1" applyAlignment="1">
      <alignment horizontal="left" vertical="center" wrapText="1" indent="1"/>
    </xf>
    <xf numFmtId="0" fontId="1039" fillId="0" borderId="1" xfId="0" applyFont="1" applyBorder="1" applyAlignment="1">
      <alignment horizontal="left" vertical="center" wrapText="1" indent="1"/>
    </xf>
    <xf numFmtId="0" fontId="1040" fillId="0" borderId="1" xfId="0" applyFont="1" applyBorder="1" applyAlignment="1">
      <alignment horizontal="left" vertical="center" wrapText="1" indent="1"/>
    </xf>
    <xf numFmtId="0" fontId="1041" fillId="0" borderId="1" xfId="0" applyFont="1" applyBorder="1" applyAlignment="1">
      <alignment horizontal="left" vertical="center" wrapText="1" indent="1"/>
    </xf>
    <xf numFmtId="0" fontId="1042" fillId="0" borderId="1" xfId="0" applyFont="1" applyBorder="1" applyAlignment="1">
      <alignment horizontal="left" vertical="center" wrapText="1" indent="1"/>
    </xf>
    <xf numFmtId="0" fontId="1043" fillId="0" borderId="1" xfId="0" applyFont="1" applyBorder="1" applyAlignment="1">
      <alignment horizontal="left" vertical="center" wrapText="1" indent="1"/>
    </xf>
    <xf numFmtId="0" fontId="1044" fillId="0" borderId="1" xfId="0" applyFont="1" applyBorder="1" applyAlignment="1">
      <alignment horizontal="left" vertical="center" wrapText="1" indent="1"/>
    </xf>
    <xf numFmtId="0" fontId="1045" fillId="0" borderId="1" xfId="0" applyFont="1" applyBorder="1" applyAlignment="1">
      <alignment horizontal="left" vertical="center" wrapText="1" indent="1"/>
    </xf>
    <xf numFmtId="0" fontId="1046" fillId="0" borderId="1" xfId="0" applyFont="1" applyBorder="1" applyAlignment="1">
      <alignment horizontal="left" vertical="center" wrapText="1" indent="1"/>
    </xf>
    <xf numFmtId="0" fontId="1047" fillId="0" borderId="1" xfId="0" applyFont="1" applyBorder="1" applyAlignment="1">
      <alignment horizontal="left" vertical="center" wrapText="1" indent="1"/>
    </xf>
    <xf numFmtId="0" fontId="1048" fillId="0" borderId="1" xfId="0" applyFont="1" applyBorder="1" applyAlignment="1">
      <alignment horizontal="left" vertical="center" wrapText="1" indent="1"/>
    </xf>
    <xf numFmtId="0" fontId="1049" fillId="0" borderId="1" xfId="0" applyFont="1" applyBorder="1" applyAlignment="1">
      <alignment horizontal="left" vertical="center" wrapText="1" indent="1"/>
    </xf>
    <xf numFmtId="0" fontId="1050" fillId="0" borderId="1" xfId="0" applyFont="1" applyBorder="1" applyAlignment="1">
      <alignment horizontal="left" vertical="center" wrapText="1" indent="1"/>
    </xf>
    <xf numFmtId="0" fontId="1051" fillId="0" borderId="1" xfId="0" applyFont="1" applyBorder="1" applyAlignment="1">
      <alignment horizontal="left" vertical="center" wrapText="1" indent="1"/>
    </xf>
    <xf numFmtId="0" fontId="1052" fillId="0" borderId="1" xfId="0" applyFont="1" applyBorder="1" applyAlignment="1">
      <alignment horizontal="left" vertical="center" wrapText="1" indent="1"/>
    </xf>
    <xf numFmtId="0" fontId="1053" fillId="0" borderId="1" xfId="0" applyFont="1" applyBorder="1" applyAlignment="1">
      <alignment horizontal="left" vertical="center" wrapText="1" indent="1"/>
    </xf>
    <xf numFmtId="0" fontId="1054" fillId="0" borderId="1" xfId="0" applyFont="1" applyBorder="1" applyAlignment="1">
      <alignment horizontal="left" vertical="center" wrapText="1" indent="1"/>
    </xf>
    <xf numFmtId="0" fontId="1055" fillId="0" borderId="1" xfId="0" applyFont="1" applyBorder="1" applyAlignment="1">
      <alignment horizontal="left" vertical="center" wrapText="1" indent="1"/>
    </xf>
    <xf numFmtId="0" fontId="1056" fillId="0" borderId="1" xfId="0" applyFont="1" applyBorder="1" applyAlignment="1">
      <alignment horizontal="left" vertical="center" wrapText="1" indent="1"/>
    </xf>
    <xf numFmtId="0" fontId="1057" fillId="0" borderId="1" xfId="0" applyFont="1" applyBorder="1" applyAlignment="1">
      <alignment horizontal="left" vertical="center" wrapText="1" indent="1"/>
    </xf>
    <xf numFmtId="0" fontId="1058" fillId="0" borderId="1" xfId="0" applyFont="1" applyBorder="1" applyAlignment="1">
      <alignment horizontal="left" vertical="center" wrapText="1" indent="1"/>
    </xf>
    <xf numFmtId="0" fontId="1059" fillId="0" borderId="1" xfId="0" applyFont="1" applyBorder="1" applyAlignment="1">
      <alignment horizontal="left" vertical="center" wrapText="1" indent="1"/>
    </xf>
    <xf numFmtId="0" fontId="1060" fillId="0" borderId="1" xfId="0" applyFont="1" applyBorder="1" applyAlignment="1">
      <alignment horizontal="left" vertical="center" wrapText="1" indent="1"/>
    </xf>
    <xf numFmtId="0" fontId="1061" fillId="0" borderId="1" xfId="0" applyFont="1" applyBorder="1" applyAlignment="1">
      <alignment horizontal="left" vertical="center" wrapText="1" indent="1"/>
    </xf>
    <xf numFmtId="0" fontId="1062" fillId="0" borderId="1" xfId="0" applyFont="1" applyBorder="1" applyAlignment="1">
      <alignment horizontal="left" vertical="center" wrapText="1" indent="1"/>
    </xf>
    <xf numFmtId="0" fontId="1063" fillId="0" borderId="1" xfId="0" applyFont="1" applyBorder="1" applyAlignment="1">
      <alignment horizontal="left" vertical="center" wrapText="1" indent="1"/>
    </xf>
    <xf numFmtId="0" fontId="1064" fillId="0" borderId="1" xfId="0" applyFont="1" applyBorder="1" applyAlignment="1">
      <alignment horizontal="left" vertical="center" wrapText="1" indent="1"/>
    </xf>
    <xf numFmtId="0" fontId="1065" fillId="0" borderId="1" xfId="0" applyFont="1" applyBorder="1" applyAlignment="1">
      <alignment horizontal="left" vertical="center" wrapText="1" indent="1"/>
    </xf>
    <xf numFmtId="0" fontId="1066" fillId="0" borderId="1" xfId="0" applyFont="1" applyBorder="1" applyAlignment="1">
      <alignment horizontal="left" vertical="center" wrapText="1" indent="1"/>
    </xf>
    <xf numFmtId="0" fontId="1067" fillId="0" borderId="1" xfId="0" applyFont="1" applyBorder="1" applyAlignment="1">
      <alignment horizontal="left" vertical="center" wrapText="1" indent="1"/>
    </xf>
    <xf numFmtId="0" fontId="1068" fillId="0" borderId="1" xfId="0" applyFont="1" applyBorder="1" applyAlignment="1">
      <alignment horizontal="left" vertical="center" wrapText="1" indent="1"/>
    </xf>
    <xf numFmtId="0" fontId="1069" fillId="0" borderId="1" xfId="0" applyFont="1" applyBorder="1" applyAlignment="1">
      <alignment horizontal="left" vertical="center" wrapText="1" indent="1"/>
    </xf>
    <xf numFmtId="0" fontId="1070" fillId="0" borderId="1" xfId="0" applyFont="1" applyBorder="1" applyAlignment="1">
      <alignment horizontal="left" vertical="center" wrapText="1" indent="1"/>
    </xf>
    <xf numFmtId="0" fontId="1071" fillId="0" borderId="1" xfId="0" applyFont="1" applyBorder="1" applyAlignment="1">
      <alignment horizontal="left" vertical="center" wrapText="1" indent="1"/>
    </xf>
    <xf numFmtId="0" fontId="1072" fillId="0" borderId="1" xfId="0" applyFont="1" applyBorder="1" applyAlignment="1">
      <alignment horizontal="left" vertical="center" wrapText="1" indent="1"/>
    </xf>
    <xf numFmtId="0" fontId="1073" fillId="0" borderId="1" xfId="0" applyFont="1" applyBorder="1" applyAlignment="1">
      <alignment horizontal="left" vertical="center" wrapText="1" indent="1"/>
    </xf>
    <xf numFmtId="0" fontId="1074" fillId="0" borderId="1" xfId="0" applyFont="1" applyBorder="1" applyAlignment="1">
      <alignment horizontal="left" vertical="center" wrapText="1" indent="1"/>
    </xf>
    <xf numFmtId="0" fontId="1075" fillId="0" borderId="1" xfId="0" applyFont="1" applyBorder="1" applyAlignment="1">
      <alignment horizontal="left" vertical="center" wrapText="1" indent="1"/>
    </xf>
    <xf numFmtId="0" fontId="1076" fillId="0" borderId="1" xfId="0" applyFont="1" applyBorder="1" applyAlignment="1">
      <alignment horizontal="left" vertical="center" wrapText="1" indent="1"/>
    </xf>
    <xf numFmtId="0" fontId="1077" fillId="0" borderId="1" xfId="0" applyFont="1" applyBorder="1" applyAlignment="1">
      <alignment horizontal="left" vertical="center" wrapText="1" indent="1"/>
    </xf>
    <xf numFmtId="0" fontId="1078" fillId="0" borderId="1" xfId="0" applyFont="1" applyBorder="1" applyAlignment="1">
      <alignment horizontal="left" vertical="center" wrapText="1" indent="1"/>
    </xf>
    <xf numFmtId="0" fontId="1079" fillId="0" borderId="1" xfId="0" applyFont="1" applyBorder="1" applyAlignment="1">
      <alignment horizontal="left" vertical="center" wrapText="1" indent="1"/>
    </xf>
    <xf numFmtId="0" fontId="1080" fillId="0" borderId="1" xfId="0" applyFont="1" applyBorder="1" applyAlignment="1">
      <alignment horizontal="left" vertical="center" wrapText="1" indent="1"/>
    </xf>
    <xf numFmtId="0" fontId="1081" fillId="0" borderId="1" xfId="0" applyFont="1" applyBorder="1" applyAlignment="1">
      <alignment horizontal="left" vertical="center" wrapText="1" indent="1"/>
    </xf>
    <xf numFmtId="0" fontId="1082" fillId="0" borderId="1" xfId="0" applyFont="1" applyBorder="1" applyAlignment="1">
      <alignment horizontal="left" vertical="center" wrapText="1" indent="1"/>
    </xf>
    <xf numFmtId="0" fontId="1083" fillId="0" borderId="1" xfId="0" applyFont="1" applyBorder="1" applyAlignment="1">
      <alignment horizontal="left" vertical="center" wrapText="1" indent="1"/>
    </xf>
    <xf numFmtId="0" fontId="1084" fillId="0" borderId="1" xfId="0" applyFont="1" applyBorder="1" applyAlignment="1">
      <alignment horizontal="left" vertical="center" wrapText="1" indent="1"/>
    </xf>
    <xf numFmtId="0" fontId="1085" fillId="0" borderId="1" xfId="0" applyFont="1" applyBorder="1" applyAlignment="1">
      <alignment horizontal="left" vertical="center" wrapText="1" indent="1"/>
    </xf>
    <xf numFmtId="0" fontId="1086" fillId="0" borderId="1" xfId="0" applyFont="1" applyBorder="1" applyAlignment="1">
      <alignment horizontal="left" vertical="center" wrapText="1" indent="1"/>
    </xf>
    <xf numFmtId="0" fontId="1087" fillId="0" borderId="1" xfId="0" applyFont="1" applyBorder="1" applyAlignment="1">
      <alignment horizontal="left" vertical="center" wrapText="1" indent="1"/>
    </xf>
    <xf numFmtId="0" fontId="1088" fillId="0" borderId="1" xfId="0" applyFont="1" applyBorder="1" applyAlignment="1">
      <alignment horizontal="left" vertical="center" wrapText="1" indent="1"/>
    </xf>
    <xf numFmtId="0" fontId="1089" fillId="0" borderId="1" xfId="0" applyFont="1" applyBorder="1" applyAlignment="1">
      <alignment horizontal="left" vertical="center" wrapText="1" indent="1"/>
    </xf>
    <xf numFmtId="0" fontId="1090" fillId="0" borderId="1" xfId="0" applyFont="1" applyBorder="1" applyAlignment="1">
      <alignment horizontal="left" vertical="center" wrapText="1" indent="1"/>
    </xf>
    <xf numFmtId="0" fontId="1091" fillId="0" borderId="1" xfId="0" applyFont="1" applyBorder="1" applyAlignment="1">
      <alignment horizontal="left" vertical="center" wrapText="1" indent="1"/>
    </xf>
    <xf numFmtId="0" fontId="1092" fillId="0" borderId="1" xfId="0" applyFont="1" applyBorder="1" applyAlignment="1">
      <alignment horizontal="left" vertical="center" wrapText="1" indent="1"/>
    </xf>
    <xf numFmtId="0" fontId="1093" fillId="0" borderId="1" xfId="0" applyFont="1" applyBorder="1" applyAlignment="1">
      <alignment horizontal="left" vertical="center" wrapText="1" indent="1"/>
    </xf>
    <xf numFmtId="0" fontId="1094" fillId="0" borderId="1" xfId="0" applyFont="1" applyBorder="1" applyAlignment="1">
      <alignment horizontal="left" vertical="center" wrapText="1" indent="1"/>
    </xf>
    <xf numFmtId="0" fontId="1095" fillId="0" borderId="1" xfId="0" applyFont="1" applyBorder="1" applyAlignment="1">
      <alignment horizontal="left" vertical="center" wrapText="1" indent="1"/>
    </xf>
    <xf numFmtId="0" fontId="1096" fillId="0" borderId="1" xfId="0" applyFont="1" applyBorder="1" applyAlignment="1">
      <alignment horizontal="left" vertical="center" wrapText="1" indent="1"/>
    </xf>
    <xf numFmtId="0" fontId="1097" fillId="0" borderId="1" xfId="0" applyFont="1" applyBorder="1" applyAlignment="1">
      <alignment horizontal="left" vertical="center" wrapText="1" indent="1"/>
    </xf>
    <xf numFmtId="0" fontId="1098" fillId="0" borderId="1" xfId="0" applyFont="1" applyBorder="1" applyAlignment="1">
      <alignment horizontal="left" vertical="center" wrapText="1" indent="1"/>
    </xf>
    <xf numFmtId="0" fontId="1099" fillId="0" borderId="1" xfId="0" applyFont="1" applyBorder="1" applyAlignment="1">
      <alignment horizontal="left" vertical="center" wrapText="1" indent="1"/>
    </xf>
    <xf numFmtId="0" fontId="1100" fillId="0" borderId="1" xfId="0" applyFont="1" applyBorder="1" applyAlignment="1">
      <alignment horizontal="left" vertical="center" wrapText="1" indent="1"/>
    </xf>
    <xf numFmtId="0" fontId="1101" fillId="0" borderId="1" xfId="0" applyFont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619"/>
  <sheetViews>
    <sheetView tabSelected="1" topLeftCell="A595" workbookViewId="0">
      <selection activeCell="H619" sqref="H619"/>
    </sheetView>
  </sheetViews>
  <sheetFormatPr defaultColWidth="10.5" defaultRowHeight="18" customHeight="1" outlineLevelRow="1" x14ac:dyDescent="0.2"/>
  <cols>
    <col min="1" max="2" width="14" style="1" customWidth="1"/>
    <col min="3" max="3" width="46.6640625" style="1" customWidth="1"/>
    <col min="4" max="4" width="16.33203125" style="1" customWidth="1"/>
    <col min="5" max="5" width="12.1640625" style="1" customWidth="1"/>
    <col min="6" max="8" width="25.6640625" style="1" customWidth="1"/>
    <col min="9" max="9" width="29.1640625" style="1" customWidth="1"/>
    <col min="10" max="10" width="10.5" style="1" customWidth="1"/>
    <col min="11" max="11" width="13.83203125" style="1" customWidth="1"/>
    <col min="12" max="12" width="16.33203125" style="1" customWidth="1"/>
    <col min="13" max="13" width="11.5" style="1" customWidth="1"/>
  </cols>
  <sheetData>
    <row r="1" spans="1:9" s="1" customFormat="1" ht="18" customHeight="1" x14ac:dyDescent="0.2">
      <c r="A1" s="2" t="s">
        <v>0</v>
      </c>
    </row>
    <row r="2" spans="1:9" ht="18" customHeight="1" x14ac:dyDescent="0.2">
      <c r="A2" s="15" t="str">
        <f>HYPERLINK("https://adv-map.ru/reports/?LINK=292fc5383519898bb47b3753eef69b79","Ссылка на карту")</f>
        <v>Ссылка на карту</v>
      </c>
    </row>
    <row r="3" spans="1:9" s="1" customFormat="1" ht="18" customHeight="1" x14ac:dyDescent="0.15">
      <c r="A3" s="1108" t="s">
        <v>1</v>
      </c>
      <c r="B3" s="1108" t="s">
        <v>2</v>
      </c>
      <c r="C3" s="1108" t="s">
        <v>3</v>
      </c>
      <c r="D3" s="1108" t="s">
        <v>4</v>
      </c>
      <c r="E3" s="1108" t="s">
        <v>5</v>
      </c>
      <c r="F3" s="1108" t="s">
        <v>6</v>
      </c>
      <c r="G3" s="1108" t="s">
        <v>7</v>
      </c>
      <c r="H3" s="1108" t="s">
        <v>8</v>
      </c>
      <c r="I3" s="3" t="s">
        <v>9</v>
      </c>
    </row>
    <row r="4" spans="1:9" s="1" customFormat="1" ht="18" customHeight="1" x14ac:dyDescent="0.15">
      <c r="A4" s="1109"/>
      <c r="B4" s="1109"/>
      <c r="C4" s="1109"/>
      <c r="D4" s="1109"/>
      <c r="E4" s="1109"/>
      <c r="F4" s="1109"/>
      <c r="G4" s="1109"/>
      <c r="H4" s="1109"/>
      <c r="I4" s="4" t="s">
        <v>10</v>
      </c>
    </row>
    <row r="5" spans="1:9" s="1" customFormat="1" ht="18" customHeight="1" x14ac:dyDescent="0.15">
      <c r="A5" s="5" t="s">
        <v>11</v>
      </c>
      <c r="B5" s="6"/>
      <c r="C5" s="6"/>
      <c r="D5" s="6"/>
      <c r="E5" s="6"/>
      <c r="F5" s="6"/>
      <c r="G5" s="6"/>
      <c r="H5" s="6"/>
      <c r="I5" s="7"/>
    </row>
    <row r="6" spans="1:9" s="8" customFormat="1" ht="18" customHeight="1" outlineLevel="1" x14ac:dyDescent="0.2">
      <c r="A6" s="9" t="s">
        <v>12</v>
      </c>
      <c r="B6" s="9" t="s">
        <v>13</v>
      </c>
      <c r="C6" s="9" t="s">
        <v>14</v>
      </c>
      <c r="D6" s="16" t="str">
        <f>HYPERLINK("https://cloud.mail.ru/public/XzEw/DGezEEwFK","Ссылка")</f>
        <v>Ссылка</v>
      </c>
      <c r="E6" s="17" t="str">
        <f>HYPERLINK("https://adv-map.ru/place/?LINK=45c607850c68c938fc1c51f34d22e151","Ссылка")</f>
        <v>Ссылка</v>
      </c>
      <c r="F6" s="9" t="s">
        <v>15</v>
      </c>
      <c r="G6" s="10" t="s">
        <v>16</v>
      </c>
      <c r="H6" s="11">
        <v>25000</v>
      </c>
      <c r="I6" s="12"/>
    </row>
    <row r="7" spans="1:9" s="8" customFormat="1" ht="18" customHeight="1" outlineLevel="1" x14ac:dyDescent="0.2">
      <c r="A7" s="9" t="s">
        <v>12</v>
      </c>
      <c r="B7" s="9" t="s">
        <v>17</v>
      </c>
      <c r="C7" s="9" t="s">
        <v>14</v>
      </c>
      <c r="D7" s="18" t="str">
        <f>HYPERLINK("https://cloud.mail.ru/public/Keqv/45WRpsgd6","Ссылка")</f>
        <v>Ссылка</v>
      </c>
      <c r="E7" s="19" t="str">
        <f>HYPERLINK("https://adv-map.ru/place/?LINK=cd8500d74339050d6835f0697a3fb973","Ссылка")</f>
        <v>Ссылка</v>
      </c>
      <c r="F7" s="9" t="s">
        <v>15</v>
      </c>
      <c r="G7" s="10" t="s">
        <v>16</v>
      </c>
      <c r="H7" s="11">
        <v>25000</v>
      </c>
      <c r="I7" s="12"/>
    </row>
    <row r="8" spans="1:9" s="8" customFormat="1" ht="18" customHeight="1" outlineLevel="1" x14ac:dyDescent="0.2">
      <c r="A8" s="9" t="s">
        <v>18</v>
      </c>
      <c r="B8" s="9" t="s">
        <v>13</v>
      </c>
      <c r="C8" s="9" t="s">
        <v>19</v>
      </c>
      <c r="D8" s="20" t="str">
        <f>HYPERLINK("https://cloud.mail.ru/public/JiCF/E3Q2wjrGC","Ссылка")</f>
        <v>Ссылка</v>
      </c>
      <c r="E8" s="21" t="str">
        <f>HYPERLINK("https://adv-map.ru/place/?LINK=bf88ab8514b02e6b189ef5a27fec5635","Ссылка")</f>
        <v>Ссылка</v>
      </c>
      <c r="F8" s="9" t="s">
        <v>20</v>
      </c>
      <c r="G8" s="10" t="s">
        <v>16</v>
      </c>
      <c r="H8" s="11">
        <v>31000</v>
      </c>
      <c r="I8" s="12"/>
    </row>
    <row r="9" spans="1:9" s="8" customFormat="1" ht="18" customHeight="1" outlineLevel="1" x14ac:dyDescent="0.2">
      <c r="A9" s="9" t="s">
        <v>18</v>
      </c>
      <c r="B9" s="9" t="s">
        <v>17</v>
      </c>
      <c r="C9" s="9" t="s">
        <v>19</v>
      </c>
      <c r="D9" s="22" t="str">
        <f>HYPERLINK("https://cloud.mail.ru/public/MELw/CYEWY3ped","Ссылка")</f>
        <v>Ссылка</v>
      </c>
      <c r="E9" s="23" t="str">
        <f>HYPERLINK("https://adv-map.ru/place/?LINK=a922e44f6577e01c25514d03c2e76a30","Ссылка")</f>
        <v>Ссылка</v>
      </c>
      <c r="F9" s="9" t="s">
        <v>20</v>
      </c>
      <c r="G9" s="10" t="s">
        <v>16</v>
      </c>
      <c r="H9" s="11">
        <v>25000</v>
      </c>
      <c r="I9" s="12"/>
    </row>
    <row r="10" spans="1:9" s="8" customFormat="1" ht="18" customHeight="1" outlineLevel="1" x14ac:dyDescent="0.2">
      <c r="A10" s="9" t="s">
        <v>21</v>
      </c>
      <c r="B10" s="9" t="s">
        <v>22</v>
      </c>
      <c r="C10" s="9" t="s">
        <v>23</v>
      </c>
      <c r="D10" s="24" t="str">
        <f>HYPERLINK("https://cloud.mail.ru/public/CQX3/FYdCVQGEP","Ссылка")</f>
        <v>Ссылка</v>
      </c>
      <c r="E10" s="25" t="str">
        <f>HYPERLINK("https://adv-map.ru/place/?LINK=96ebb8d8ab4c87ffc07cf42517ae05a8","Ссылка")</f>
        <v>Ссылка</v>
      </c>
      <c r="F10" s="9" t="s">
        <v>24</v>
      </c>
      <c r="G10" s="10" t="s">
        <v>25</v>
      </c>
      <c r="H10" s="11">
        <v>39000</v>
      </c>
      <c r="I10" s="13" t="s">
        <v>26</v>
      </c>
    </row>
    <row r="11" spans="1:9" s="8" customFormat="1" ht="18" customHeight="1" outlineLevel="1" x14ac:dyDescent="0.2">
      <c r="A11" s="9" t="s">
        <v>21</v>
      </c>
      <c r="B11" s="9" t="s">
        <v>27</v>
      </c>
      <c r="C11" s="9" t="s">
        <v>23</v>
      </c>
      <c r="D11" s="24" t="str">
        <f>HYPERLINK("https://cloud.mail.ru/public/CQX3/FYdCVQGEP","Ссылка")</f>
        <v>Ссылка</v>
      </c>
      <c r="E11" s="26" t="str">
        <f>HYPERLINK("https://adv-map.ru/place/?LINK=4c1827658e5228d9766a3e480196f59a","Ссылка")</f>
        <v>Ссылка</v>
      </c>
      <c r="F11" s="9" t="s">
        <v>24</v>
      </c>
      <c r="G11" s="10" t="s">
        <v>25</v>
      </c>
      <c r="H11" s="11">
        <v>39000</v>
      </c>
      <c r="I11" s="13" t="s">
        <v>26</v>
      </c>
    </row>
    <row r="12" spans="1:9" s="8" customFormat="1" ht="18" customHeight="1" outlineLevel="1" x14ac:dyDescent="0.2">
      <c r="A12" s="9" t="s">
        <v>21</v>
      </c>
      <c r="B12" s="9" t="s">
        <v>28</v>
      </c>
      <c r="C12" s="9" t="s">
        <v>23</v>
      </c>
      <c r="D12" s="24" t="str">
        <f>HYPERLINK("https://cloud.mail.ru/public/CQX3/FYdCVQGEP","Ссылка")</f>
        <v>Ссылка</v>
      </c>
      <c r="E12" s="27" t="str">
        <f>HYPERLINK("https://adv-map.ru/place/?LINK=c734605b771b8444b39881cf60a21b05","Ссылка")</f>
        <v>Ссылка</v>
      </c>
      <c r="F12" s="9" t="s">
        <v>24</v>
      </c>
      <c r="G12" s="10" t="s">
        <v>25</v>
      </c>
      <c r="H12" s="11">
        <v>39000</v>
      </c>
      <c r="I12" s="13" t="s">
        <v>26</v>
      </c>
    </row>
    <row r="13" spans="1:9" s="8" customFormat="1" ht="18" customHeight="1" outlineLevel="1" x14ac:dyDescent="0.2">
      <c r="A13" s="9" t="s">
        <v>29</v>
      </c>
      <c r="B13" s="9" t="s">
        <v>13</v>
      </c>
      <c r="C13" s="9" t="s">
        <v>30</v>
      </c>
      <c r="D13" s="28" t="str">
        <f>HYPERLINK("https://cloud.mail.ru/public/29MP/HzdmhmXxe","Ссылка")</f>
        <v>Ссылка</v>
      </c>
      <c r="E13" s="29" t="str">
        <f>HYPERLINK("https://adv-map.ru/place/?LINK=a6757c9d6c2fb32d0b60decccb01280c","Ссылка")</f>
        <v>Ссылка</v>
      </c>
      <c r="F13" s="9" t="s">
        <v>31</v>
      </c>
      <c r="G13" s="10" t="s">
        <v>16</v>
      </c>
      <c r="H13" s="11">
        <v>35000</v>
      </c>
      <c r="I13" s="13" t="s">
        <v>26</v>
      </c>
    </row>
    <row r="14" spans="1:9" s="8" customFormat="1" ht="18" customHeight="1" outlineLevel="1" x14ac:dyDescent="0.2">
      <c r="A14" s="9" t="s">
        <v>29</v>
      </c>
      <c r="B14" s="9" t="s">
        <v>17</v>
      </c>
      <c r="C14" s="9" t="s">
        <v>30</v>
      </c>
      <c r="D14" s="30" t="str">
        <f>HYPERLINK("https://cloud.mail.ru/public/UHW1/HW2YW1WUK","Ссылка")</f>
        <v>Ссылка</v>
      </c>
      <c r="E14" s="31" t="str">
        <f>HYPERLINK("https://adv-map.ru/place/?LINK=5b1fdd2cb4458f3fc611ef15c81ef984","Ссылка")</f>
        <v>Ссылка</v>
      </c>
      <c r="F14" s="9" t="s">
        <v>31</v>
      </c>
      <c r="G14" s="10" t="s">
        <v>16</v>
      </c>
      <c r="H14" s="11">
        <v>27500</v>
      </c>
      <c r="I14" s="13" t="s">
        <v>26</v>
      </c>
    </row>
    <row r="15" spans="1:9" s="8" customFormat="1" ht="18" customHeight="1" outlineLevel="1" x14ac:dyDescent="0.2">
      <c r="A15" s="9" t="s">
        <v>32</v>
      </c>
      <c r="B15" s="9" t="s">
        <v>13</v>
      </c>
      <c r="C15" s="9" t="s">
        <v>33</v>
      </c>
      <c r="D15" s="32" t="str">
        <f>HYPERLINK("https://cloud.mail.ru/public/abHg/RYFRpxZbG","Ссылка")</f>
        <v>Ссылка</v>
      </c>
      <c r="E15" s="33" t="str">
        <f>HYPERLINK("https://adv-map.ru/place/?LINK=0c9292d3d21c7456baebfe24b515a5a8","Ссылка")</f>
        <v>Ссылка</v>
      </c>
      <c r="F15" s="9" t="s">
        <v>34</v>
      </c>
      <c r="G15" s="10" t="s">
        <v>16</v>
      </c>
      <c r="H15" s="11">
        <v>31000</v>
      </c>
      <c r="I15" s="13" t="s">
        <v>26</v>
      </c>
    </row>
    <row r="16" spans="1:9" s="8" customFormat="1" ht="18" customHeight="1" outlineLevel="1" x14ac:dyDescent="0.2">
      <c r="A16" s="9" t="s">
        <v>32</v>
      </c>
      <c r="B16" s="9" t="s">
        <v>17</v>
      </c>
      <c r="C16" s="9" t="s">
        <v>33</v>
      </c>
      <c r="D16" s="34" t="str">
        <f>HYPERLINK("https://cloud.mail.ru/public/rzLD/S83oLWQj2","Ссылка")</f>
        <v>Ссылка</v>
      </c>
      <c r="E16" s="35" t="str">
        <f>HYPERLINK("https://adv-map.ru/place/?LINK=f03a347fd812e2629a21616bc4506589","Ссылка")</f>
        <v>Ссылка</v>
      </c>
      <c r="F16" s="9" t="s">
        <v>34</v>
      </c>
      <c r="G16" s="10" t="s">
        <v>16</v>
      </c>
      <c r="H16" s="11">
        <v>31000</v>
      </c>
      <c r="I16" s="13" t="s">
        <v>26</v>
      </c>
    </row>
    <row r="17" spans="1:9" s="8" customFormat="1" ht="18" customHeight="1" outlineLevel="1" x14ac:dyDescent="0.2">
      <c r="A17" s="9" t="s">
        <v>35</v>
      </c>
      <c r="B17" s="9" t="s">
        <v>13</v>
      </c>
      <c r="C17" s="9" t="s">
        <v>36</v>
      </c>
      <c r="D17" s="36" t="str">
        <f>HYPERLINK("https://cloud.mail.ru/public/nuqo/kxmRRR952","Ссылка")</f>
        <v>Ссылка</v>
      </c>
      <c r="E17" s="37" t="str">
        <f>HYPERLINK("https://adv-map.ru/place/?LINK=79ad22eb9a26a27743080020fafc6812","Ссылка")</f>
        <v>Ссылка</v>
      </c>
      <c r="F17" s="9" t="s">
        <v>37</v>
      </c>
      <c r="G17" s="10" t="s">
        <v>16</v>
      </c>
      <c r="H17" s="11">
        <v>31000</v>
      </c>
      <c r="I17" s="12"/>
    </row>
    <row r="18" spans="1:9" s="8" customFormat="1" ht="18" customHeight="1" outlineLevel="1" x14ac:dyDescent="0.2">
      <c r="A18" s="9" t="s">
        <v>35</v>
      </c>
      <c r="B18" s="9" t="s">
        <v>17</v>
      </c>
      <c r="C18" s="9" t="s">
        <v>36</v>
      </c>
      <c r="D18" s="38" t="str">
        <f>HYPERLINK("https://cloud.mail.ru/public/wup6/aFZCZMako","Ссылка")</f>
        <v>Ссылка</v>
      </c>
      <c r="E18" s="39" t="str">
        <f>HYPERLINK("https://adv-map.ru/place/?LINK=0a2d3daad176a0c7ffc91ef41d22ba31","Ссылка")</f>
        <v>Ссылка</v>
      </c>
      <c r="F18" s="9" t="s">
        <v>37</v>
      </c>
      <c r="G18" s="10" t="s">
        <v>16</v>
      </c>
      <c r="H18" s="11">
        <v>27000</v>
      </c>
      <c r="I18" s="13" t="s">
        <v>26</v>
      </c>
    </row>
    <row r="19" spans="1:9" s="8" customFormat="1" ht="18" customHeight="1" outlineLevel="1" x14ac:dyDescent="0.2">
      <c r="A19" s="9" t="s">
        <v>38</v>
      </c>
      <c r="B19" s="9" t="s">
        <v>13</v>
      </c>
      <c r="C19" s="9" t="s">
        <v>39</v>
      </c>
      <c r="D19" s="40" t="str">
        <f>HYPERLINK("https://cloud.mail.ru/public/5kvN/WkzQkx5sD","Ссылка")</f>
        <v>Ссылка</v>
      </c>
      <c r="E19" s="41" t="str">
        <f>HYPERLINK("https://adv-map.ru/place/?LINK=3a0ae5c83684f05a03bb3fbd227521cb","Ссылка")</f>
        <v>Ссылка</v>
      </c>
      <c r="F19" s="9" t="s">
        <v>40</v>
      </c>
      <c r="G19" s="10" t="s">
        <v>16</v>
      </c>
      <c r="H19" s="11">
        <v>35000</v>
      </c>
      <c r="I19" s="13" t="s">
        <v>26</v>
      </c>
    </row>
    <row r="20" spans="1:9" s="8" customFormat="1" ht="18" customHeight="1" outlineLevel="1" x14ac:dyDescent="0.2">
      <c r="A20" s="9" t="s">
        <v>38</v>
      </c>
      <c r="B20" s="9" t="s">
        <v>17</v>
      </c>
      <c r="C20" s="9" t="s">
        <v>39</v>
      </c>
      <c r="D20" s="42" t="str">
        <f>HYPERLINK("https://cloud.mail.ru/public/pRPt/Rram4DDkP","Ссылка")</f>
        <v>Ссылка</v>
      </c>
      <c r="E20" s="43" t="str">
        <f>HYPERLINK("https://adv-map.ru/place/?LINK=6bbc475b95bd012e01dfbce53f7a4d4d","Ссылка")</f>
        <v>Ссылка</v>
      </c>
      <c r="F20" s="9" t="s">
        <v>40</v>
      </c>
      <c r="G20" s="10" t="s">
        <v>16</v>
      </c>
      <c r="H20" s="11">
        <v>27000</v>
      </c>
      <c r="I20" s="12"/>
    </row>
    <row r="21" spans="1:9" s="8" customFormat="1" ht="18" customHeight="1" outlineLevel="1" x14ac:dyDescent="0.2">
      <c r="A21" s="9" t="s">
        <v>41</v>
      </c>
      <c r="B21" s="9" t="s">
        <v>13</v>
      </c>
      <c r="C21" s="9" t="s">
        <v>42</v>
      </c>
      <c r="D21" s="44" t="str">
        <f>HYPERLINK("https://cloud.mail.ru/public/myRq/qXid65MQ1","Ссылка")</f>
        <v>Ссылка</v>
      </c>
      <c r="E21" s="45" t="str">
        <f>HYPERLINK("https://adv-map.ru/place/?LINK=7fb3adf0cad34d924fc02d03baf4c0cd","Ссылка")</f>
        <v>Ссылка</v>
      </c>
      <c r="F21" s="9" t="s">
        <v>43</v>
      </c>
      <c r="G21" s="10" t="s">
        <v>16</v>
      </c>
      <c r="H21" s="11">
        <v>33000</v>
      </c>
      <c r="I21" s="13" t="s">
        <v>26</v>
      </c>
    </row>
    <row r="22" spans="1:9" s="8" customFormat="1" ht="18" customHeight="1" outlineLevel="1" x14ac:dyDescent="0.2">
      <c r="A22" s="9" t="s">
        <v>41</v>
      </c>
      <c r="B22" s="9" t="s">
        <v>17</v>
      </c>
      <c r="C22" s="9" t="s">
        <v>42</v>
      </c>
      <c r="D22" s="46" t="str">
        <f>HYPERLINK("https://cloud.mail.ru/public/KMmg/5W7ChWzHi","Ссылка")</f>
        <v>Ссылка</v>
      </c>
      <c r="E22" s="47" t="str">
        <f>HYPERLINK("https://adv-map.ru/place/?LINK=a87a010f99a279f33cd2b0cfdd281958","Ссылка")</f>
        <v>Ссылка</v>
      </c>
      <c r="F22" s="9" t="s">
        <v>43</v>
      </c>
      <c r="G22" s="10" t="s">
        <v>16</v>
      </c>
      <c r="H22" s="11">
        <v>29000</v>
      </c>
      <c r="I22" s="12"/>
    </row>
    <row r="23" spans="1:9" s="8" customFormat="1" ht="18" customHeight="1" outlineLevel="1" x14ac:dyDescent="0.2">
      <c r="A23" s="9" t="s">
        <v>44</v>
      </c>
      <c r="B23" s="9" t="s">
        <v>13</v>
      </c>
      <c r="C23" s="9" t="s">
        <v>45</v>
      </c>
      <c r="D23" s="48" t="str">
        <f>HYPERLINK("https://cloud.mail.ru/public/Hwib/VgvrDS7jB","Ссылка")</f>
        <v>Ссылка</v>
      </c>
      <c r="E23" s="49" t="str">
        <f>HYPERLINK("https://adv-map.ru/place/?LINK=cf403fc4b97a50bb7c41e8ca25e9b740","Ссылка")</f>
        <v>Ссылка</v>
      </c>
      <c r="F23" s="9" t="s">
        <v>46</v>
      </c>
      <c r="G23" s="10" t="s">
        <v>16</v>
      </c>
      <c r="H23" s="11">
        <v>29000</v>
      </c>
      <c r="I23" s="12"/>
    </row>
    <row r="24" spans="1:9" s="8" customFormat="1" ht="18" customHeight="1" outlineLevel="1" x14ac:dyDescent="0.2">
      <c r="A24" s="9" t="s">
        <v>44</v>
      </c>
      <c r="B24" s="9" t="s">
        <v>17</v>
      </c>
      <c r="C24" s="9" t="s">
        <v>45</v>
      </c>
      <c r="D24" s="50" t="str">
        <f>HYPERLINK("https://cloud.mail.ru/public/DdaD/vA5j6J2sS","Ссылка")</f>
        <v>Ссылка</v>
      </c>
      <c r="E24" s="51" t="str">
        <f>HYPERLINK("https://adv-map.ru/place/?LINK=0768dd25bd78d9b84ac3610fd0ba6977","Ссылка")</f>
        <v>Ссылка</v>
      </c>
      <c r="F24" s="9" t="s">
        <v>46</v>
      </c>
      <c r="G24" s="10" t="s">
        <v>16</v>
      </c>
      <c r="H24" s="11">
        <v>25000</v>
      </c>
      <c r="I24" s="13" t="s">
        <v>47</v>
      </c>
    </row>
    <row r="25" spans="1:9" s="8" customFormat="1" ht="18" customHeight="1" outlineLevel="1" x14ac:dyDescent="0.2">
      <c r="A25" s="9" t="s">
        <v>48</v>
      </c>
      <c r="B25" s="9" t="s">
        <v>22</v>
      </c>
      <c r="C25" s="9" t="s">
        <v>49</v>
      </c>
      <c r="D25" s="52" t="str">
        <f>HYPERLINK("https://cloud.mail.ru/public/hLCJ/ppRiriTuN","Ссылка")</f>
        <v>Ссылка</v>
      </c>
      <c r="E25" s="53" t="str">
        <f>HYPERLINK("https://adv-map.ru/place/?LINK=a3d35b5a7280b5d4f3ab68a638279c96","Ссылка")</f>
        <v>Ссылка</v>
      </c>
      <c r="F25" s="9" t="s">
        <v>50</v>
      </c>
      <c r="G25" s="10" t="s">
        <v>51</v>
      </c>
      <c r="H25" s="11">
        <v>27000</v>
      </c>
      <c r="I25" s="12"/>
    </row>
    <row r="26" spans="1:9" s="8" customFormat="1" ht="18" customHeight="1" outlineLevel="1" x14ac:dyDescent="0.2">
      <c r="A26" s="9" t="s">
        <v>48</v>
      </c>
      <c r="B26" s="9" t="s">
        <v>27</v>
      </c>
      <c r="C26" s="9" t="s">
        <v>49</v>
      </c>
      <c r="D26" s="52" t="str">
        <f>HYPERLINK("https://cloud.mail.ru/public/hLCJ/ppRiriTuN","Ссылка")</f>
        <v>Ссылка</v>
      </c>
      <c r="E26" s="54" t="str">
        <f>HYPERLINK("https://adv-map.ru/place/?LINK=a0e864572fb7c570ab50e0964c3038e4","Ссылка")</f>
        <v>Ссылка</v>
      </c>
      <c r="F26" s="9" t="s">
        <v>50</v>
      </c>
      <c r="G26" s="10" t="s">
        <v>51</v>
      </c>
      <c r="H26" s="11">
        <v>27000</v>
      </c>
      <c r="I26" s="12"/>
    </row>
    <row r="27" spans="1:9" s="8" customFormat="1" ht="18" customHeight="1" outlineLevel="1" x14ac:dyDescent="0.2">
      <c r="A27" s="9" t="s">
        <v>48</v>
      </c>
      <c r="B27" s="9" t="s">
        <v>28</v>
      </c>
      <c r="C27" s="9" t="s">
        <v>49</v>
      </c>
      <c r="D27" s="52" t="str">
        <f>HYPERLINK("https://cloud.mail.ru/public/hLCJ/ppRiriTuN","Ссылка")</f>
        <v>Ссылка</v>
      </c>
      <c r="E27" s="55" t="str">
        <f>HYPERLINK("https://adv-map.ru/place/?LINK=7b7a15c457687deeba839d9fade5db64","Ссылка")</f>
        <v>Ссылка</v>
      </c>
      <c r="F27" s="9" t="s">
        <v>50</v>
      </c>
      <c r="G27" s="10" t="s">
        <v>51</v>
      </c>
      <c r="H27" s="11">
        <v>27000</v>
      </c>
      <c r="I27" s="12"/>
    </row>
    <row r="28" spans="1:9" s="8" customFormat="1" ht="18" customHeight="1" outlineLevel="1" x14ac:dyDescent="0.2">
      <c r="A28" s="9" t="s">
        <v>48</v>
      </c>
      <c r="B28" s="9" t="s">
        <v>17</v>
      </c>
      <c r="C28" s="9" t="s">
        <v>49</v>
      </c>
      <c r="D28" s="56" t="str">
        <f>HYPERLINK("https://cloud.mail.ru/public/uogo/rrWzW9k43","Ссылка")</f>
        <v>Ссылка</v>
      </c>
      <c r="E28" s="57" t="str">
        <f>HYPERLINK("https://adv-map.ru/place/?LINK=dce84c75f8ce973d7a28da3010a3c159","Ссылка")</f>
        <v>Ссылка</v>
      </c>
      <c r="F28" s="9" t="s">
        <v>50</v>
      </c>
      <c r="G28" s="10" t="s">
        <v>16</v>
      </c>
      <c r="H28" s="11">
        <v>27000</v>
      </c>
      <c r="I28" s="12"/>
    </row>
    <row r="29" spans="1:9" s="8" customFormat="1" ht="18" customHeight="1" outlineLevel="1" x14ac:dyDescent="0.2">
      <c r="A29" s="9" t="s">
        <v>52</v>
      </c>
      <c r="B29" s="9" t="s">
        <v>13</v>
      </c>
      <c r="C29" s="9" t="s">
        <v>53</v>
      </c>
      <c r="D29" s="58" t="str">
        <f>HYPERLINK("https://cloud.mail.ru/public/P7ef/N1JU5oxAh","Ссылка")</f>
        <v>Ссылка</v>
      </c>
      <c r="E29" s="59" t="str">
        <f>HYPERLINK("https://adv-map.ru/place/?LINK=d54f526e5c3e112445b233760c79e996","Ссылка")</f>
        <v>Ссылка</v>
      </c>
      <c r="F29" s="9" t="s">
        <v>54</v>
      </c>
      <c r="G29" s="10" t="s">
        <v>16</v>
      </c>
      <c r="H29" s="11">
        <v>23000</v>
      </c>
      <c r="I29" s="12"/>
    </row>
    <row r="30" spans="1:9" s="8" customFormat="1" ht="18" customHeight="1" outlineLevel="1" x14ac:dyDescent="0.2">
      <c r="A30" s="9" t="s">
        <v>52</v>
      </c>
      <c r="B30" s="9" t="s">
        <v>17</v>
      </c>
      <c r="C30" s="9" t="s">
        <v>53</v>
      </c>
      <c r="D30" s="60" t="str">
        <f>HYPERLINK("https://cloud.mail.ru/public/qFMF/kgDBF4kWQ","Ссылка")</f>
        <v>Ссылка</v>
      </c>
      <c r="E30" s="61" t="str">
        <f>HYPERLINK("https://adv-map.ru/place/?LINK=3af1c0a94bdfe3ff40355f6297a8d9e6","Ссылка")</f>
        <v>Ссылка</v>
      </c>
      <c r="F30" s="9" t="s">
        <v>54</v>
      </c>
      <c r="G30" s="10" t="s">
        <v>16</v>
      </c>
      <c r="H30" s="11">
        <v>23000</v>
      </c>
      <c r="I30" s="13" t="s">
        <v>26</v>
      </c>
    </row>
    <row r="31" spans="1:9" s="8" customFormat="1" ht="18" customHeight="1" outlineLevel="1" x14ac:dyDescent="0.2">
      <c r="A31" s="9" t="s">
        <v>55</v>
      </c>
      <c r="B31" s="9" t="s">
        <v>22</v>
      </c>
      <c r="C31" s="9" t="s">
        <v>56</v>
      </c>
      <c r="D31" s="62" t="str">
        <f>HYPERLINK("https://cloud.mail.ru/public/pJJG/qQhMX9ihz","Ссылка")</f>
        <v>Ссылка</v>
      </c>
      <c r="E31" s="63" t="str">
        <f>HYPERLINK("https://adv-map.ru/place/?LINK=a1f3846b827d57a29c59866a0243ac90","Ссылка")</f>
        <v>Ссылка</v>
      </c>
      <c r="F31" s="9" t="s">
        <v>57</v>
      </c>
      <c r="G31" s="10" t="s">
        <v>51</v>
      </c>
      <c r="H31" s="11">
        <v>29000</v>
      </c>
      <c r="I31" s="12"/>
    </row>
    <row r="32" spans="1:9" s="8" customFormat="1" ht="18" customHeight="1" outlineLevel="1" x14ac:dyDescent="0.2">
      <c r="A32" s="9" t="s">
        <v>55</v>
      </c>
      <c r="B32" s="9" t="s">
        <v>27</v>
      </c>
      <c r="C32" s="9" t="s">
        <v>56</v>
      </c>
      <c r="D32" s="62" t="str">
        <f>HYPERLINK("https://cloud.mail.ru/public/pJJG/qQhMX9ihz","Ссылка")</f>
        <v>Ссылка</v>
      </c>
      <c r="E32" s="64" t="str">
        <f>HYPERLINK("https://adv-map.ru/place/?LINK=e792b5cede123f106e7b05e505078aa2","Ссылка")</f>
        <v>Ссылка</v>
      </c>
      <c r="F32" s="9" t="s">
        <v>57</v>
      </c>
      <c r="G32" s="10" t="s">
        <v>51</v>
      </c>
      <c r="H32" s="11">
        <v>29000</v>
      </c>
      <c r="I32" s="13" t="s">
        <v>26</v>
      </c>
    </row>
    <row r="33" spans="1:9" s="8" customFormat="1" ht="18" customHeight="1" outlineLevel="1" x14ac:dyDescent="0.2">
      <c r="A33" s="9" t="s">
        <v>55</v>
      </c>
      <c r="B33" s="9" t="s">
        <v>28</v>
      </c>
      <c r="C33" s="9" t="s">
        <v>56</v>
      </c>
      <c r="D33" s="62" t="str">
        <f>HYPERLINK("https://cloud.mail.ru/public/pJJG/qQhMX9ihz","Ссылка")</f>
        <v>Ссылка</v>
      </c>
      <c r="E33" s="65" t="str">
        <f>HYPERLINK("https://adv-map.ru/place/?LINK=e2c60626d44a4c738daf9b702a80467a","Ссылка")</f>
        <v>Ссылка</v>
      </c>
      <c r="F33" s="9" t="s">
        <v>57</v>
      </c>
      <c r="G33" s="10" t="s">
        <v>51</v>
      </c>
      <c r="H33" s="11">
        <v>29000</v>
      </c>
      <c r="I33" s="13" t="s">
        <v>26</v>
      </c>
    </row>
    <row r="34" spans="1:9" s="8" customFormat="1" ht="18" customHeight="1" outlineLevel="1" x14ac:dyDescent="0.2">
      <c r="A34" s="9" t="s">
        <v>55</v>
      </c>
      <c r="B34" s="9" t="s">
        <v>17</v>
      </c>
      <c r="C34" s="9" t="s">
        <v>56</v>
      </c>
      <c r="D34" s="66" t="str">
        <f>HYPERLINK("https://cloud.mail.ru/public/UT5r/ShEqErHDA","Ссылка")</f>
        <v>Ссылка</v>
      </c>
      <c r="E34" s="67" t="str">
        <f>HYPERLINK("https://adv-map.ru/place/?LINK=65e5c52b3c970581ceae2188f75006b2","Ссылка")</f>
        <v>Ссылка</v>
      </c>
      <c r="F34" s="9" t="s">
        <v>57</v>
      </c>
      <c r="G34" s="10" t="s">
        <v>16</v>
      </c>
      <c r="H34" s="11">
        <v>31000</v>
      </c>
      <c r="I34" s="13" t="s">
        <v>26</v>
      </c>
    </row>
    <row r="35" spans="1:9" s="8" customFormat="1" ht="18" customHeight="1" outlineLevel="1" x14ac:dyDescent="0.2">
      <c r="A35" s="9" t="s">
        <v>58</v>
      </c>
      <c r="B35" s="9" t="s">
        <v>13</v>
      </c>
      <c r="C35" s="9" t="s">
        <v>59</v>
      </c>
      <c r="D35" s="68" t="str">
        <f>HYPERLINK("https://cloud.mail.ru/public/Uf2V/2o337PvNU","Ссылка")</f>
        <v>Ссылка</v>
      </c>
      <c r="E35" s="69" t="str">
        <f>HYPERLINK("https://adv-map.ru/place/?LINK=9c665a8d9031bdcf9023849ba63d02fc","Ссылка")</f>
        <v>Ссылка</v>
      </c>
      <c r="F35" s="9" t="s">
        <v>60</v>
      </c>
      <c r="G35" s="10" t="s">
        <v>16</v>
      </c>
      <c r="H35" s="11">
        <v>30000</v>
      </c>
      <c r="I35" s="13" t="s">
        <v>26</v>
      </c>
    </row>
    <row r="36" spans="1:9" s="8" customFormat="1" ht="18" customHeight="1" outlineLevel="1" x14ac:dyDescent="0.2">
      <c r="A36" s="9" t="s">
        <v>58</v>
      </c>
      <c r="B36" s="9" t="s">
        <v>17</v>
      </c>
      <c r="C36" s="9" t="s">
        <v>61</v>
      </c>
      <c r="D36" s="70" t="str">
        <f>HYPERLINK("https://cloud.mail.ru/public/kh9a/hMh9pY4yw","Ссылка")</f>
        <v>Ссылка</v>
      </c>
      <c r="E36" s="71" t="str">
        <f>HYPERLINK("https://adv-map.ru/place/?LINK=8d92cb9019c3448463e49ea259b99aea","Ссылка")</f>
        <v>Ссылка</v>
      </c>
      <c r="F36" s="9" t="s">
        <v>60</v>
      </c>
      <c r="G36" s="10" t="s">
        <v>16</v>
      </c>
      <c r="H36" s="11">
        <v>27000</v>
      </c>
      <c r="I36" s="13" t="s">
        <v>47</v>
      </c>
    </row>
    <row r="37" spans="1:9" s="8" customFormat="1" ht="18" customHeight="1" outlineLevel="1" x14ac:dyDescent="0.2">
      <c r="A37" s="9" t="s">
        <v>62</v>
      </c>
      <c r="B37" s="9" t="s">
        <v>22</v>
      </c>
      <c r="C37" s="9" t="s">
        <v>63</v>
      </c>
      <c r="D37" s="72" t="str">
        <f>HYPERLINK("https://cloud.mail.ru/public/FpUv/vfw9g9fin","Ссылка")</f>
        <v>Ссылка</v>
      </c>
      <c r="E37" s="73" t="str">
        <f>HYPERLINK("https://adv-map.ru/place/?LINK=db1c2545bb783695db6b4e0c598cad5c","Ссылка")</f>
        <v>Ссылка</v>
      </c>
      <c r="F37" s="9" t="s">
        <v>64</v>
      </c>
      <c r="G37" s="10" t="s">
        <v>51</v>
      </c>
      <c r="H37" s="11">
        <v>30000</v>
      </c>
      <c r="I37" s="13" t="s">
        <v>26</v>
      </c>
    </row>
    <row r="38" spans="1:9" s="8" customFormat="1" ht="18" customHeight="1" outlineLevel="1" x14ac:dyDescent="0.2">
      <c r="A38" s="9" t="s">
        <v>62</v>
      </c>
      <c r="B38" s="9" t="s">
        <v>27</v>
      </c>
      <c r="C38" s="9" t="s">
        <v>63</v>
      </c>
      <c r="D38" s="72" t="str">
        <f>HYPERLINK("https://cloud.mail.ru/public/FpUv/vfw9g9fin","Ссылка")</f>
        <v>Ссылка</v>
      </c>
      <c r="E38" s="74" t="str">
        <f>HYPERLINK("https://adv-map.ru/place/?LINK=aab2b3a562eb129134185cead0542e39","Ссылка")</f>
        <v>Ссылка</v>
      </c>
      <c r="F38" s="9" t="s">
        <v>64</v>
      </c>
      <c r="G38" s="10" t="s">
        <v>51</v>
      </c>
      <c r="H38" s="11">
        <v>30000</v>
      </c>
      <c r="I38" s="13" t="s">
        <v>26</v>
      </c>
    </row>
    <row r="39" spans="1:9" s="8" customFormat="1" ht="18" customHeight="1" outlineLevel="1" x14ac:dyDescent="0.2">
      <c r="A39" s="9" t="s">
        <v>62</v>
      </c>
      <c r="B39" s="9" t="s">
        <v>28</v>
      </c>
      <c r="C39" s="9" t="s">
        <v>63</v>
      </c>
      <c r="D39" s="72" t="str">
        <f>HYPERLINK("https://cloud.mail.ru/public/FpUv/vfw9g9fin","Ссылка")</f>
        <v>Ссылка</v>
      </c>
      <c r="E39" s="75" t="str">
        <f>HYPERLINK("https://adv-map.ru/place/?LINK=656366d96a0f31594d22c0c52b07b7c9","Ссылка")</f>
        <v>Ссылка</v>
      </c>
      <c r="F39" s="9" t="s">
        <v>64</v>
      </c>
      <c r="G39" s="10" t="s">
        <v>51</v>
      </c>
      <c r="H39" s="11">
        <v>30000</v>
      </c>
      <c r="I39" s="13" t="s">
        <v>26</v>
      </c>
    </row>
    <row r="40" spans="1:9" s="8" customFormat="1" ht="18" customHeight="1" outlineLevel="1" x14ac:dyDescent="0.2">
      <c r="A40" s="9" t="s">
        <v>62</v>
      </c>
      <c r="B40" s="9" t="s">
        <v>17</v>
      </c>
      <c r="C40" s="9" t="s">
        <v>63</v>
      </c>
      <c r="D40" s="76" t="str">
        <f>HYPERLINK("https://cloud.mail.ru/public/xun8/E8eaCyd5F","Ссылка")</f>
        <v>Ссылка</v>
      </c>
      <c r="E40" s="77" t="str">
        <f>HYPERLINK("https://adv-map.ru/place/?LINK=cdf9089f59e175da44a9054692c2221e","Ссылка")</f>
        <v>Ссылка</v>
      </c>
      <c r="F40" s="9" t="s">
        <v>64</v>
      </c>
      <c r="G40" s="10" t="s">
        <v>16</v>
      </c>
      <c r="H40" s="11">
        <v>28000</v>
      </c>
      <c r="I40" s="12"/>
    </row>
    <row r="41" spans="1:9" s="8" customFormat="1" ht="18" customHeight="1" outlineLevel="1" x14ac:dyDescent="0.2">
      <c r="A41" s="9" t="s">
        <v>65</v>
      </c>
      <c r="B41" s="9" t="s">
        <v>13</v>
      </c>
      <c r="C41" s="9" t="s">
        <v>66</v>
      </c>
      <c r="D41" s="78" t="str">
        <f>HYPERLINK("https://cloud.mail.ru/public/dC2F/o8V9Pvv1a","Ссылка")</f>
        <v>Ссылка</v>
      </c>
      <c r="E41" s="79" t="str">
        <f>HYPERLINK("https://adv-map.ru/place/?LINK=1674b24e87f27501ab9ea7e1e3bea0a2","Ссылка")</f>
        <v>Ссылка</v>
      </c>
      <c r="F41" s="9" t="s">
        <v>67</v>
      </c>
      <c r="G41" s="10" t="s">
        <v>16</v>
      </c>
      <c r="H41" s="11">
        <v>31000</v>
      </c>
      <c r="I41" s="13" t="s">
        <v>47</v>
      </c>
    </row>
    <row r="42" spans="1:9" s="8" customFormat="1" ht="18" customHeight="1" outlineLevel="1" x14ac:dyDescent="0.2">
      <c r="A42" s="9" t="s">
        <v>65</v>
      </c>
      <c r="B42" s="9" t="s">
        <v>17</v>
      </c>
      <c r="C42" s="9" t="s">
        <v>66</v>
      </c>
      <c r="D42" s="80" t="str">
        <f>HYPERLINK("https://cloud.mail.ru/public/1qWs/fE4YrpUYn","Ссылка")</f>
        <v>Ссылка</v>
      </c>
      <c r="E42" s="81" t="str">
        <f>HYPERLINK("https://adv-map.ru/place/?LINK=9f2a26b210672ee1b05b649815569e23","Ссылка")</f>
        <v>Ссылка</v>
      </c>
      <c r="F42" s="9" t="s">
        <v>67</v>
      </c>
      <c r="G42" s="10" t="s">
        <v>16</v>
      </c>
      <c r="H42" s="11">
        <v>29000</v>
      </c>
      <c r="I42" s="12"/>
    </row>
    <row r="43" spans="1:9" s="8" customFormat="1" ht="18" customHeight="1" outlineLevel="1" x14ac:dyDescent="0.2">
      <c r="A43" s="9" t="s">
        <v>68</v>
      </c>
      <c r="B43" s="9" t="s">
        <v>13</v>
      </c>
      <c r="C43" s="9" t="s">
        <v>69</v>
      </c>
      <c r="D43" s="82" t="str">
        <f>HYPERLINK("https://cloud.mail.ru/public/Yq6G/qSysrsEeG","Ссылка")</f>
        <v>Ссылка</v>
      </c>
      <c r="E43" s="83" t="str">
        <f>HYPERLINK("https://adv-map.ru/place/?LINK=899f9bc9a57f2fd1337084a4bf35040e","Ссылка")</f>
        <v>Ссылка</v>
      </c>
      <c r="F43" s="9" t="s">
        <v>70</v>
      </c>
      <c r="G43" s="10" t="s">
        <v>16</v>
      </c>
      <c r="H43" s="11">
        <v>31000</v>
      </c>
      <c r="I43" s="12"/>
    </row>
    <row r="44" spans="1:9" s="8" customFormat="1" ht="18" customHeight="1" outlineLevel="1" x14ac:dyDescent="0.2">
      <c r="A44" s="9" t="s">
        <v>68</v>
      </c>
      <c r="B44" s="9" t="s">
        <v>17</v>
      </c>
      <c r="C44" s="9" t="s">
        <v>69</v>
      </c>
      <c r="D44" s="84" t="str">
        <f>HYPERLINK("https://cloud.mail.ru/public/wV8F/mArtVbn45","Ссылка")</f>
        <v>Ссылка</v>
      </c>
      <c r="E44" s="85" t="str">
        <f>HYPERLINK("https://adv-map.ru/place/?LINK=5b4c7b73361c0352584fefb70d3e4f72","Ссылка")</f>
        <v>Ссылка</v>
      </c>
      <c r="F44" s="9" t="s">
        <v>70</v>
      </c>
      <c r="G44" s="10" t="s">
        <v>16</v>
      </c>
      <c r="H44" s="11">
        <v>27000</v>
      </c>
      <c r="I44" s="12"/>
    </row>
    <row r="45" spans="1:9" s="8" customFormat="1" ht="18" customHeight="1" outlineLevel="1" x14ac:dyDescent="0.2">
      <c r="A45" s="9" t="s">
        <v>71</v>
      </c>
      <c r="B45" s="9" t="s">
        <v>22</v>
      </c>
      <c r="C45" s="9" t="s">
        <v>72</v>
      </c>
      <c r="D45" s="86" t="str">
        <f>HYPERLINK("https://cloud.mail.ru/public/yPZ4/AmdTKgJXe","Ссылка")</f>
        <v>Ссылка</v>
      </c>
      <c r="E45" s="87" t="str">
        <f>HYPERLINK("https://adv-map.ru/place/?LINK=b215f1fb08cf3ed99ddf08b0a60e713e","Ссылка")</f>
        <v>Ссылка</v>
      </c>
      <c r="F45" s="9" t="s">
        <v>73</v>
      </c>
      <c r="G45" s="10" t="s">
        <v>51</v>
      </c>
      <c r="H45" s="11">
        <v>29000</v>
      </c>
      <c r="I45" s="12"/>
    </row>
    <row r="46" spans="1:9" s="8" customFormat="1" ht="18" customHeight="1" outlineLevel="1" x14ac:dyDescent="0.2">
      <c r="A46" s="9" t="s">
        <v>71</v>
      </c>
      <c r="B46" s="9" t="s">
        <v>27</v>
      </c>
      <c r="C46" s="9" t="s">
        <v>72</v>
      </c>
      <c r="D46" s="86" t="str">
        <f>HYPERLINK("https://cloud.mail.ru/public/yPZ4/AmdTKgJXe","Ссылка")</f>
        <v>Ссылка</v>
      </c>
      <c r="E46" s="88" t="str">
        <f>HYPERLINK("https://adv-map.ru/place/?LINK=17c0e67cd9d7f8b82f75f9692566c191","Ссылка")</f>
        <v>Ссылка</v>
      </c>
      <c r="F46" s="9" t="s">
        <v>73</v>
      </c>
      <c r="G46" s="10" t="s">
        <v>51</v>
      </c>
      <c r="H46" s="11">
        <v>29000</v>
      </c>
      <c r="I46" s="12"/>
    </row>
    <row r="47" spans="1:9" s="8" customFormat="1" ht="18" customHeight="1" outlineLevel="1" x14ac:dyDescent="0.2">
      <c r="A47" s="9" t="s">
        <v>71</v>
      </c>
      <c r="B47" s="9" t="s">
        <v>28</v>
      </c>
      <c r="C47" s="9" t="s">
        <v>72</v>
      </c>
      <c r="D47" s="86" t="str">
        <f>HYPERLINK("https://cloud.mail.ru/public/yPZ4/AmdTKgJXe","Ссылка")</f>
        <v>Ссылка</v>
      </c>
      <c r="E47" s="89" t="str">
        <f>HYPERLINK("https://adv-map.ru/place/?LINK=7c2c501bde1b3500436b41bf51073e1b","Ссылка")</f>
        <v>Ссылка</v>
      </c>
      <c r="F47" s="9" t="s">
        <v>73</v>
      </c>
      <c r="G47" s="10" t="s">
        <v>51</v>
      </c>
      <c r="H47" s="11">
        <v>29000</v>
      </c>
      <c r="I47" s="13" t="s">
        <v>47</v>
      </c>
    </row>
    <row r="48" spans="1:9" s="8" customFormat="1" ht="18" customHeight="1" outlineLevel="1" x14ac:dyDescent="0.2">
      <c r="A48" s="9" t="s">
        <v>71</v>
      </c>
      <c r="B48" s="9" t="s">
        <v>17</v>
      </c>
      <c r="C48" s="9" t="s">
        <v>72</v>
      </c>
      <c r="D48" s="90" t="str">
        <f>HYPERLINK("https://cloud.mail.ru/public/fNw9/9JAaLcgqf","Ссылка")</f>
        <v>Ссылка</v>
      </c>
      <c r="E48" s="91" t="str">
        <f>HYPERLINK("https://adv-map.ru/place/?LINK=d0e9e81e85cd948ce1b7a8edc2552039","Ссылка")</f>
        <v>Ссылка</v>
      </c>
      <c r="F48" s="9" t="s">
        <v>73</v>
      </c>
      <c r="G48" s="10" t="s">
        <v>16</v>
      </c>
      <c r="H48" s="11">
        <v>26000</v>
      </c>
      <c r="I48" s="13" t="s">
        <v>74</v>
      </c>
    </row>
    <row r="49" spans="1:9" s="8" customFormat="1" ht="18" customHeight="1" outlineLevel="1" x14ac:dyDescent="0.2">
      <c r="A49" s="9" t="s">
        <v>75</v>
      </c>
      <c r="B49" s="9" t="s">
        <v>22</v>
      </c>
      <c r="C49" s="9" t="s">
        <v>76</v>
      </c>
      <c r="D49" s="92" t="str">
        <f>HYPERLINK("https://cloud.mail.ru/public/DmtE/4ZUvnT4Pg","Ссылка")</f>
        <v>Ссылка</v>
      </c>
      <c r="E49" s="93" t="str">
        <f>HYPERLINK("https://adv-map.ru/place/?LINK=79438bb9e96bed252ca2f483d8a5d677","Ссылка")</f>
        <v>Ссылка</v>
      </c>
      <c r="F49" s="9" t="s">
        <v>77</v>
      </c>
      <c r="G49" s="10" t="s">
        <v>78</v>
      </c>
      <c r="H49" s="11">
        <v>25000</v>
      </c>
      <c r="I49" s="12"/>
    </row>
    <row r="50" spans="1:9" s="8" customFormat="1" ht="18" customHeight="1" outlineLevel="1" x14ac:dyDescent="0.2">
      <c r="A50" s="9" t="s">
        <v>75</v>
      </c>
      <c r="B50" s="9" t="s">
        <v>27</v>
      </c>
      <c r="C50" s="9" t="s">
        <v>76</v>
      </c>
      <c r="D50" s="92" t="str">
        <f>HYPERLINK("https://cloud.mail.ru/public/DmtE/4ZUvnT4Pg","Ссылка")</f>
        <v>Ссылка</v>
      </c>
      <c r="E50" s="94" t="str">
        <f>HYPERLINK("https://adv-map.ru/place/?LINK=f276dbdbe6ff7826f9670ac619bfd104","Ссылка")</f>
        <v>Ссылка</v>
      </c>
      <c r="F50" s="9" t="s">
        <v>77</v>
      </c>
      <c r="G50" s="10" t="s">
        <v>78</v>
      </c>
      <c r="H50" s="11">
        <v>25000</v>
      </c>
      <c r="I50" s="12"/>
    </row>
    <row r="51" spans="1:9" s="8" customFormat="1" ht="18" customHeight="1" outlineLevel="1" x14ac:dyDescent="0.2">
      <c r="A51" s="9" t="s">
        <v>75</v>
      </c>
      <c r="B51" s="9" t="s">
        <v>28</v>
      </c>
      <c r="C51" s="9" t="s">
        <v>76</v>
      </c>
      <c r="D51" s="92" t="str">
        <f>HYPERLINK("https://cloud.mail.ru/public/DmtE/4ZUvnT4Pg","Ссылка")</f>
        <v>Ссылка</v>
      </c>
      <c r="E51" s="95" t="str">
        <f>HYPERLINK("https://adv-map.ru/place/?LINK=15c8bc3adfe59b33dfb839b117b78a39","Ссылка")</f>
        <v>Ссылка</v>
      </c>
      <c r="F51" s="9" t="s">
        <v>77</v>
      </c>
      <c r="G51" s="10" t="s">
        <v>78</v>
      </c>
      <c r="H51" s="11">
        <v>25000</v>
      </c>
      <c r="I51" s="12"/>
    </row>
    <row r="52" spans="1:9" s="8" customFormat="1" ht="18" customHeight="1" outlineLevel="1" x14ac:dyDescent="0.2">
      <c r="A52" s="9" t="s">
        <v>79</v>
      </c>
      <c r="B52" s="9" t="s">
        <v>13</v>
      </c>
      <c r="C52" s="9" t="s">
        <v>61</v>
      </c>
      <c r="D52" s="96" t="str">
        <f>HYPERLINK("https://cloud.mail.ru/public/We1x/Q1c8bGqPH","Ссылка")</f>
        <v>Ссылка</v>
      </c>
      <c r="E52" s="97" t="str">
        <f>HYPERLINK("https://adv-map.ru/place/?LINK=02144a143547b70fe59cf68bbe0c6f05","Ссылка")</f>
        <v>Ссылка</v>
      </c>
      <c r="F52" s="9" t="s">
        <v>80</v>
      </c>
      <c r="G52" s="10" t="s">
        <v>16</v>
      </c>
      <c r="H52" s="11">
        <v>31000</v>
      </c>
      <c r="I52" s="13" t="s">
        <v>26</v>
      </c>
    </row>
    <row r="53" spans="1:9" s="8" customFormat="1" ht="18" customHeight="1" outlineLevel="1" x14ac:dyDescent="0.2">
      <c r="A53" s="9" t="s">
        <v>79</v>
      </c>
      <c r="B53" s="9" t="s">
        <v>17</v>
      </c>
      <c r="C53" s="9" t="s">
        <v>61</v>
      </c>
      <c r="D53" s="98" t="str">
        <f>HYPERLINK("https://cloud.mail.ru/public/aUH7/7Kww93Tm2","Ссылка")</f>
        <v>Ссылка</v>
      </c>
      <c r="E53" s="99" t="str">
        <f>HYPERLINK("https://adv-map.ru/place/?LINK=ae809f8c6df5a72f1738da4cc26ba7e0","Ссылка")</f>
        <v>Ссылка</v>
      </c>
      <c r="F53" s="9" t="s">
        <v>80</v>
      </c>
      <c r="G53" s="10" t="s">
        <v>16</v>
      </c>
      <c r="H53" s="11">
        <v>26000</v>
      </c>
      <c r="I53" s="12"/>
    </row>
    <row r="54" spans="1:9" s="8" customFormat="1" ht="18" customHeight="1" outlineLevel="1" x14ac:dyDescent="0.2">
      <c r="A54" s="9" t="s">
        <v>81</v>
      </c>
      <c r="B54" s="9" t="s">
        <v>13</v>
      </c>
      <c r="C54" s="9" t="s">
        <v>76</v>
      </c>
      <c r="D54" s="100" t="str">
        <f>HYPERLINK("https://cloud.mail.ru/public/X7Vk/7KqZJVBdN","Ссылка")</f>
        <v>Ссылка</v>
      </c>
      <c r="E54" s="101" t="str">
        <f>HYPERLINK("https://adv-map.ru/place/?LINK=f3c1d2b44f2a6e1ca2c98836e8bc0c62","Ссылка")</f>
        <v>Ссылка</v>
      </c>
      <c r="F54" s="9" t="s">
        <v>77</v>
      </c>
      <c r="G54" s="10" t="s">
        <v>82</v>
      </c>
      <c r="H54" s="11">
        <v>26000</v>
      </c>
      <c r="I54" s="12"/>
    </row>
    <row r="55" spans="1:9" s="8" customFormat="1" ht="18" customHeight="1" outlineLevel="1" x14ac:dyDescent="0.2">
      <c r="A55" s="9" t="s">
        <v>83</v>
      </c>
      <c r="B55" s="9" t="s">
        <v>13</v>
      </c>
      <c r="C55" s="9" t="s">
        <v>84</v>
      </c>
      <c r="D55" s="102" t="str">
        <f>HYPERLINK("https://cloud.mail.ru/public/U6Fh/9ZjZG2MuY","Ссылка")</f>
        <v>Ссылка</v>
      </c>
      <c r="E55" s="103" t="str">
        <f>HYPERLINK("https://adv-map.ru/place/?LINK=537713cd5ff1cc47c5ba916c5bb61dcc","Ссылка")</f>
        <v>Ссылка</v>
      </c>
      <c r="F55" s="9" t="s">
        <v>85</v>
      </c>
      <c r="G55" s="10" t="s">
        <v>16</v>
      </c>
      <c r="H55" s="11">
        <v>31000</v>
      </c>
      <c r="I55" s="13" t="s">
        <v>86</v>
      </c>
    </row>
    <row r="56" spans="1:9" s="8" customFormat="1" ht="18" customHeight="1" outlineLevel="1" x14ac:dyDescent="0.2">
      <c r="A56" s="9" t="s">
        <v>83</v>
      </c>
      <c r="B56" s="9" t="s">
        <v>17</v>
      </c>
      <c r="C56" s="9" t="s">
        <v>84</v>
      </c>
      <c r="D56" s="104" t="str">
        <f>HYPERLINK("https://cloud.mail.ru/public/C3fW/XCWvHhyM3","Ссылка")</f>
        <v>Ссылка</v>
      </c>
      <c r="E56" s="105" t="str">
        <f>HYPERLINK("https://adv-map.ru/place/?LINK=be10beefedddb7f8e231466b5b92ff81","Ссылка")</f>
        <v>Ссылка</v>
      </c>
      <c r="F56" s="9" t="s">
        <v>85</v>
      </c>
      <c r="G56" s="10" t="s">
        <v>16</v>
      </c>
      <c r="H56" s="11">
        <v>25000</v>
      </c>
      <c r="I56" s="13" t="s">
        <v>26</v>
      </c>
    </row>
    <row r="57" spans="1:9" s="8" customFormat="1" ht="18" customHeight="1" outlineLevel="1" x14ac:dyDescent="0.2">
      <c r="A57" s="9" t="s">
        <v>87</v>
      </c>
      <c r="B57" s="9" t="s">
        <v>13</v>
      </c>
      <c r="C57" s="9" t="s">
        <v>88</v>
      </c>
      <c r="D57" s="106" t="str">
        <f>HYPERLINK("https://cloud.mail.ru/public/dSUV/JwF2nCmaV","Ссылка")</f>
        <v>Ссылка</v>
      </c>
      <c r="E57" s="107" t="str">
        <f>HYPERLINK("https://adv-map.ru/place/?LINK=83921bb3c267b1a2616049097fc396f8","Ссылка")</f>
        <v>Ссылка</v>
      </c>
      <c r="F57" s="9" t="s">
        <v>89</v>
      </c>
      <c r="G57" s="10" t="s">
        <v>16</v>
      </c>
      <c r="H57" s="11">
        <v>31000</v>
      </c>
      <c r="I57" s="13" t="s">
        <v>90</v>
      </c>
    </row>
    <row r="58" spans="1:9" s="8" customFormat="1" ht="18" customHeight="1" outlineLevel="1" x14ac:dyDescent="0.2">
      <c r="A58" s="9" t="s">
        <v>87</v>
      </c>
      <c r="B58" s="9" t="s">
        <v>17</v>
      </c>
      <c r="C58" s="9" t="s">
        <v>91</v>
      </c>
      <c r="D58" s="108" t="str">
        <f>HYPERLINK("https://cloud.mail.ru/public/3yis/eJa4tuHLp","Ссылка")</f>
        <v>Ссылка</v>
      </c>
      <c r="E58" s="109" t="str">
        <f>HYPERLINK("https://adv-map.ru/place/?LINK=e62077587bffb3ef4a412de4050117fc","Ссылка")</f>
        <v>Ссылка</v>
      </c>
      <c r="F58" s="9" t="s">
        <v>89</v>
      </c>
      <c r="G58" s="10" t="s">
        <v>16</v>
      </c>
      <c r="H58" s="11">
        <v>25000</v>
      </c>
      <c r="I58" s="13" t="s">
        <v>26</v>
      </c>
    </row>
    <row r="59" spans="1:9" s="8" customFormat="1" ht="18" customHeight="1" outlineLevel="1" x14ac:dyDescent="0.2">
      <c r="A59" s="9" t="s">
        <v>92</v>
      </c>
      <c r="B59" s="9" t="s">
        <v>13</v>
      </c>
      <c r="C59" s="9" t="s">
        <v>93</v>
      </c>
      <c r="D59" s="110" t="str">
        <f>HYPERLINK("https://cloud.mail.ru/public/n1DE/aiyzh92Vi","Ссылка")</f>
        <v>Ссылка</v>
      </c>
      <c r="E59" s="111" t="str">
        <f>HYPERLINK("https://adv-map.ru/place/?LINK=b2b34c32d37ccba7e647ce18a85b4882","Ссылка")</f>
        <v>Ссылка</v>
      </c>
      <c r="F59" s="9" t="s">
        <v>94</v>
      </c>
      <c r="G59" s="10" t="s">
        <v>16</v>
      </c>
      <c r="H59" s="11">
        <v>31000</v>
      </c>
      <c r="I59" s="13" t="s">
        <v>26</v>
      </c>
    </row>
    <row r="60" spans="1:9" s="8" customFormat="1" ht="18" customHeight="1" outlineLevel="1" x14ac:dyDescent="0.2">
      <c r="A60" s="9" t="s">
        <v>92</v>
      </c>
      <c r="B60" s="9" t="s">
        <v>17</v>
      </c>
      <c r="C60" s="9" t="s">
        <v>93</v>
      </c>
      <c r="D60" s="112" t="str">
        <f>HYPERLINK("https://cloud.mail.ru/public/KvPC/fx9LMBhhZ","Ссылка")</f>
        <v>Ссылка</v>
      </c>
      <c r="E60" s="113" t="str">
        <f>HYPERLINK("https://adv-map.ru/place/?LINK=df01254bd43927bc94e5c48549ff0414","Ссылка")</f>
        <v>Ссылка</v>
      </c>
      <c r="F60" s="9" t="s">
        <v>94</v>
      </c>
      <c r="G60" s="10" t="s">
        <v>16</v>
      </c>
      <c r="H60" s="11">
        <v>25000</v>
      </c>
      <c r="I60" s="13" t="s">
        <v>47</v>
      </c>
    </row>
    <row r="61" spans="1:9" s="8" customFormat="1" ht="18" customHeight="1" outlineLevel="1" x14ac:dyDescent="0.2">
      <c r="A61" s="9" t="s">
        <v>95</v>
      </c>
      <c r="B61" s="9" t="s">
        <v>13</v>
      </c>
      <c r="C61" s="9" t="s">
        <v>96</v>
      </c>
      <c r="D61" s="114" t="str">
        <f>HYPERLINK("https://cloud.mail.ru/public/eoVS/pR27rbFfi","Ссылка")</f>
        <v>Ссылка</v>
      </c>
      <c r="E61" s="115" t="str">
        <f>HYPERLINK("https://adv-map.ru/place/?LINK=033f98fc09cb461ab234c65f0d0112e1","Ссылка")</f>
        <v>Ссылка</v>
      </c>
      <c r="F61" s="9" t="s">
        <v>97</v>
      </c>
      <c r="G61" s="10" t="s">
        <v>16</v>
      </c>
      <c r="H61" s="11">
        <v>33000</v>
      </c>
      <c r="I61" s="12"/>
    </row>
    <row r="62" spans="1:9" s="8" customFormat="1" ht="18" customHeight="1" outlineLevel="1" x14ac:dyDescent="0.2">
      <c r="A62" s="9" t="s">
        <v>95</v>
      </c>
      <c r="B62" s="9" t="s">
        <v>17</v>
      </c>
      <c r="C62" s="9" t="s">
        <v>96</v>
      </c>
      <c r="D62" s="116" t="str">
        <f>HYPERLINK("https://cloud.mail.ru/public/xPxB/B7tbk76kv","Ссылка")</f>
        <v>Ссылка</v>
      </c>
      <c r="E62" s="117" t="str">
        <f>HYPERLINK("https://adv-map.ru/place/?LINK=3e052b90d2ab9b69092e9dade3542e14","Ссылка")</f>
        <v>Ссылка</v>
      </c>
      <c r="F62" s="9" t="s">
        <v>97</v>
      </c>
      <c r="G62" s="10" t="s">
        <v>16</v>
      </c>
      <c r="H62" s="11">
        <v>29000</v>
      </c>
      <c r="I62" s="13" t="s">
        <v>26</v>
      </c>
    </row>
    <row r="63" spans="1:9" s="8" customFormat="1" ht="18" customHeight="1" outlineLevel="1" x14ac:dyDescent="0.2">
      <c r="A63" s="9" t="s">
        <v>98</v>
      </c>
      <c r="B63" s="9" t="s">
        <v>13</v>
      </c>
      <c r="C63" s="9" t="s">
        <v>99</v>
      </c>
      <c r="D63" s="118" t="str">
        <f>HYPERLINK("https://cloud.mail.ru/public/pY3Y/wuejCAnPK","Ссылка")</f>
        <v>Ссылка</v>
      </c>
      <c r="E63" s="119" t="str">
        <f>HYPERLINK("https://adv-map.ru/place/?LINK=67e1ffef40edc6917cc4017bcb96f304","Ссылка")</f>
        <v>Ссылка</v>
      </c>
      <c r="F63" s="9" t="s">
        <v>100</v>
      </c>
      <c r="G63" s="10" t="s">
        <v>16</v>
      </c>
      <c r="H63" s="11">
        <v>33000</v>
      </c>
      <c r="I63" s="13" t="s">
        <v>26</v>
      </c>
    </row>
    <row r="64" spans="1:9" s="8" customFormat="1" ht="18" customHeight="1" outlineLevel="1" x14ac:dyDescent="0.2">
      <c r="A64" s="9" t="s">
        <v>98</v>
      </c>
      <c r="B64" s="9" t="s">
        <v>17</v>
      </c>
      <c r="C64" s="9" t="s">
        <v>99</v>
      </c>
      <c r="D64" s="120" t="str">
        <f>HYPERLINK("https://cloud.mail.ru/public/zHea/pc3orCvw2","Ссылка")</f>
        <v>Ссылка</v>
      </c>
      <c r="E64" s="121" t="str">
        <f>HYPERLINK("https://adv-map.ru/place/?LINK=6d340e02af56d2912b1808a6414661b3","Ссылка")</f>
        <v>Ссылка</v>
      </c>
      <c r="F64" s="9" t="s">
        <v>100</v>
      </c>
      <c r="G64" s="10" t="s">
        <v>16</v>
      </c>
      <c r="H64" s="11">
        <v>27000</v>
      </c>
      <c r="I64" s="13" t="s">
        <v>101</v>
      </c>
    </row>
    <row r="65" spans="1:9" s="8" customFormat="1" ht="18" customHeight="1" outlineLevel="1" x14ac:dyDescent="0.2">
      <c r="A65" s="9" t="s">
        <v>102</v>
      </c>
      <c r="B65" s="9" t="s">
        <v>13</v>
      </c>
      <c r="C65" s="9" t="s">
        <v>88</v>
      </c>
      <c r="D65" s="122" t="str">
        <f>HYPERLINK("https://cloud.mail.ru/public/Yf8B/RZbVFfWKM","Ссылка")</f>
        <v>Ссылка</v>
      </c>
      <c r="E65" s="123" t="str">
        <f>HYPERLINK("https://adv-map.ru/place/?LINK=9063bfe9ec9d75104cd73b0c3c483548","Ссылка")</f>
        <v>Ссылка</v>
      </c>
      <c r="F65" s="9" t="s">
        <v>103</v>
      </c>
      <c r="G65" s="10" t="s">
        <v>16</v>
      </c>
      <c r="H65" s="11">
        <v>31000</v>
      </c>
      <c r="I65" s="13" t="s">
        <v>26</v>
      </c>
    </row>
    <row r="66" spans="1:9" s="8" customFormat="1" ht="18" customHeight="1" outlineLevel="1" x14ac:dyDescent="0.2">
      <c r="A66" s="9" t="s">
        <v>102</v>
      </c>
      <c r="B66" s="9" t="s">
        <v>17</v>
      </c>
      <c r="C66" s="9" t="s">
        <v>88</v>
      </c>
      <c r="D66" s="124" t="str">
        <f>HYPERLINK("https://cloud.mail.ru/public/JRRb/nD5B13xKN","Ссылка")</f>
        <v>Ссылка</v>
      </c>
      <c r="E66" s="125" t="str">
        <f>HYPERLINK("https://adv-map.ru/place/?LINK=9c66d6cf0851eb3e581d7cb5f20d6eb9","Ссылка")</f>
        <v>Ссылка</v>
      </c>
      <c r="F66" s="9" t="s">
        <v>103</v>
      </c>
      <c r="G66" s="10" t="s">
        <v>16</v>
      </c>
      <c r="H66" s="11">
        <v>25000</v>
      </c>
      <c r="I66" s="12"/>
    </row>
    <row r="67" spans="1:9" s="8" customFormat="1" ht="18" customHeight="1" outlineLevel="1" x14ac:dyDescent="0.2">
      <c r="A67" s="9" t="s">
        <v>104</v>
      </c>
      <c r="B67" s="9" t="s">
        <v>13</v>
      </c>
      <c r="C67" s="9" t="s">
        <v>105</v>
      </c>
      <c r="D67" s="126" t="str">
        <f>HYPERLINK("https://cloud.mail.ru/public/6n64/5mKoo5Xaj","Ссылка")</f>
        <v>Ссылка</v>
      </c>
      <c r="E67" s="127" t="str">
        <f>HYPERLINK("https://adv-map.ru/place/?LINK=76eed55621ace6ba1077afe1cac03800","Ссылка")</f>
        <v>Ссылка</v>
      </c>
      <c r="F67" s="9" t="s">
        <v>106</v>
      </c>
      <c r="G67" s="10" t="s">
        <v>16</v>
      </c>
      <c r="H67" s="11">
        <v>31000</v>
      </c>
      <c r="I67" s="13" t="s">
        <v>107</v>
      </c>
    </row>
    <row r="68" spans="1:9" s="8" customFormat="1" ht="18" customHeight="1" outlineLevel="1" x14ac:dyDescent="0.2">
      <c r="A68" s="9" t="s">
        <v>104</v>
      </c>
      <c r="B68" s="9" t="s">
        <v>17</v>
      </c>
      <c r="C68" s="9" t="s">
        <v>105</v>
      </c>
      <c r="D68" s="128" t="str">
        <f>HYPERLINK("https://cloud.mail.ru/public/kEn9/X6H2XrZQ4","Ссылка")</f>
        <v>Ссылка</v>
      </c>
      <c r="E68" s="129" t="str">
        <f>HYPERLINK("https://adv-map.ru/place/?LINK=276e9bff09a535d942a1fa2581785b2d","Ссылка")</f>
        <v>Ссылка</v>
      </c>
      <c r="F68" s="9" t="s">
        <v>106</v>
      </c>
      <c r="G68" s="10" t="s">
        <v>16</v>
      </c>
      <c r="H68" s="11">
        <v>25000</v>
      </c>
      <c r="I68" s="13" t="s">
        <v>26</v>
      </c>
    </row>
    <row r="69" spans="1:9" s="8" customFormat="1" ht="18" customHeight="1" outlineLevel="1" x14ac:dyDescent="0.2">
      <c r="A69" s="9" t="s">
        <v>108</v>
      </c>
      <c r="B69" s="9" t="s">
        <v>13</v>
      </c>
      <c r="C69" s="9" t="s">
        <v>109</v>
      </c>
      <c r="D69" s="130" t="str">
        <f>HYPERLINK("https://cloud.mail.ru/public/5wsp/e8t2dfNff","Ссылка")</f>
        <v>Ссылка</v>
      </c>
      <c r="E69" s="131" t="str">
        <f>HYPERLINK("https://adv-map.ru/place/?LINK=40ff04d95782188ec31d87f912da8c3a","Ссылка")</f>
        <v>Ссылка</v>
      </c>
      <c r="F69" s="9" t="s">
        <v>110</v>
      </c>
      <c r="G69" s="10" t="s">
        <v>16</v>
      </c>
      <c r="H69" s="11">
        <v>33000</v>
      </c>
      <c r="I69" s="13" t="s">
        <v>26</v>
      </c>
    </row>
    <row r="70" spans="1:9" s="8" customFormat="1" ht="18" customHeight="1" outlineLevel="1" x14ac:dyDescent="0.2">
      <c r="A70" s="9" t="s">
        <v>108</v>
      </c>
      <c r="B70" s="9" t="s">
        <v>17</v>
      </c>
      <c r="C70" s="9" t="s">
        <v>109</v>
      </c>
      <c r="D70" s="132" t="str">
        <f>HYPERLINK("https://cloud.mail.ru/public/F35q/tAKs9Mbnu","Ссылка")</f>
        <v>Ссылка</v>
      </c>
      <c r="E70" s="133" t="str">
        <f>HYPERLINK("https://adv-map.ru/place/?LINK=a6240f13a9ac00c8e1eb8a347389cb43","Ссылка")</f>
        <v>Ссылка</v>
      </c>
      <c r="F70" s="9" t="s">
        <v>110</v>
      </c>
      <c r="G70" s="10" t="s">
        <v>16</v>
      </c>
      <c r="H70" s="11">
        <v>29000</v>
      </c>
      <c r="I70" s="13" t="s">
        <v>26</v>
      </c>
    </row>
    <row r="71" spans="1:9" s="8" customFormat="1" ht="18" customHeight="1" outlineLevel="1" x14ac:dyDescent="0.2">
      <c r="A71" s="9" t="s">
        <v>111</v>
      </c>
      <c r="B71" s="9" t="s">
        <v>13</v>
      </c>
      <c r="C71" s="9" t="s">
        <v>112</v>
      </c>
      <c r="D71" s="134" t="str">
        <f>HYPERLINK("https://cloud.mail.ru/public/g3RE/76q2iBHmZ","Ссылка")</f>
        <v>Ссылка</v>
      </c>
      <c r="E71" s="135" t="str">
        <f>HYPERLINK("https://adv-map.ru/place/?LINK=f48ec56b6210de73f752b0df6e0743da","Ссылка")</f>
        <v>Ссылка</v>
      </c>
      <c r="F71" s="9" t="s">
        <v>113</v>
      </c>
      <c r="G71" s="10" t="s">
        <v>16</v>
      </c>
      <c r="H71" s="11">
        <v>33000</v>
      </c>
      <c r="I71" s="12"/>
    </row>
    <row r="72" spans="1:9" s="8" customFormat="1" ht="18" customHeight="1" outlineLevel="1" x14ac:dyDescent="0.2">
      <c r="A72" s="9" t="s">
        <v>111</v>
      </c>
      <c r="B72" s="9" t="s">
        <v>17</v>
      </c>
      <c r="C72" s="9" t="s">
        <v>112</v>
      </c>
      <c r="D72" s="136" t="str">
        <f>HYPERLINK("https://cloud.mail.ru/public/Bxwq/SY8HzKbR5","Ссылка")</f>
        <v>Ссылка</v>
      </c>
      <c r="E72" s="137" t="str">
        <f>HYPERLINK("https://adv-map.ru/place/?LINK=ba57b954553ff9ba299e8c3502174c34","Ссылка")</f>
        <v>Ссылка</v>
      </c>
      <c r="F72" s="9" t="s">
        <v>113</v>
      </c>
      <c r="G72" s="10" t="s">
        <v>16</v>
      </c>
      <c r="H72" s="11">
        <v>25000</v>
      </c>
      <c r="I72" s="12"/>
    </row>
    <row r="73" spans="1:9" s="8" customFormat="1" ht="18" customHeight="1" outlineLevel="1" x14ac:dyDescent="0.2">
      <c r="A73" s="9" t="s">
        <v>114</v>
      </c>
      <c r="B73" s="9" t="s">
        <v>13</v>
      </c>
      <c r="C73" s="9" t="s">
        <v>115</v>
      </c>
      <c r="D73" s="138" t="str">
        <f>HYPERLINK("https://cloud.mail.ru/public/T3fm/dLpfxvrBX","Ссылка")</f>
        <v>Ссылка</v>
      </c>
      <c r="E73" s="139" t="str">
        <f>HYPERLINK("https://adv-map.ru/place/?LINK=67e05ad7bf688d6618012b291ea0b61e","Ссылка")</f>
        <v>Ссылка</v>
      </c>
      <c r="F73" s="9" t="s">
        <v>116</v>
      </c>
      <c r="G73" s="10" t="s">
        <v>16</v>
      </c>
      <c r="H73" s="11">
        <v>29000</v>
      </c>
      <c r="I73" s="12"/>
    </row>
    <row r="74" spans="1:9" s="8" customFormat="1" ht="18" customHeight="1" outlineLevel="1" x14ac:dyDescent="0.2">
      <c r="A74" s="9" t="s">
        <v>114</v>
      </c>
      <c r="B74" s="9" t="s">
        <v>17</v>
      </c>
      <c r="C74" s="9" t="s">
        <v>115</v>
      </c>
      <c r="D74" s="140" t="str">
        <f>HYPERLINK("https://cloud.mail.ru/public/Fywm/np8qdjsSz","Ссылка")</f>
        <v>Ссылка</v>
      </c>
      <c r="E74" s="141" t="str">
        <f>HYPERLINK("https://adv-map.ru/place/?LINK=4b544c5b1f1fb158b5d235eb7f1817e9","Ссылка")</f>
        <v>Ссылка</v>
      </c>
      <c r="F74" s="9" t="s">
        <v>116</v>
      </c>
      <c r="G74" s="10" t="s">
        <v>16</v>
      </c>
      <c r="H74" s="11">
        <v>25000</v>
      </c>
      <c r="I74" s="12"/>
    </row>
    <row r="75" spans="1:9" s="8" customFormat="1" ht="18" customHeight="1" outlineLevel="1" x14ac:dyDescent="0.2">
      <c r="A75" s="9" t="s">
        <v>117</v>
      </c>
      <c r="B75" s="9" t="s">
        <v>17</v>
      </c>
      <c r="C75" s="9" t="s">
        <v>118</v>
      </c>
      <c r="D75" s="142" t="str">
        <f>HYPERLINK("https://cloud.mail.ru/public/ybKv/ucR8RQEDu","Ссылка")</f>
        <v>Ссылка</v>
      </c>
      <c r="E75" s="143" t="str">
        <f>HYPERLINK("https://adv-map.ru/place/?LINK=304c40305dda1b4cebdb79fdfc362d6e","Ссылка")</f>
        <v>Ссылка</v>
      </c>
      <c r="F75" s="9" t="s">
        <v>119</v>
      </c>
      <c r="G75" s="10" t="s">
        <v>16</v>
      </c>
      <c r="H75" s="11">
        <v>31000</v>
      </c>
      <c r="I75" s="13" t="s">
        <v>26</v>
      </c>
    </row>
    <row r="76" spans="1:9" s="8" customFormat="1" ht="18" customHeight="1" outlineLevel="1" x14ac:dyDescent="0.2">
      <c r="A76" s="9" t="s">
        <v>120</v>
      </c>
      <c r="B76" s="9" t="s">
        <v>13</v>
      </c>
      <c r="C76" s="9" t="s">
        <v>63</v>
      </c>
      <c r="D76" s="144" t="str">
        <f>HYPERLINK("https://cloud.mail.ru/public/QHhL/rTMRHP8cs","Ссылка")</f>
        <v>Ссылка</v>
      </c>
      <c r="E76" s="145" t="str">
        <f>HYPERLINK("https://adv-map.ru/place/?LINK=d6255bcefb0ac781d874c7c96c7067f5","Ссылка")</f>
        <v>Ссылка</v>
      </c>
      <c r="F76" s="9" t="s">
        <v>121</v>
      </c>
      <c r="G76" s="10" t="s">
        <v>16</v>
      </c>
      <c r="H76" s="11">
        <v>31900</v>
      </c>
      <c r="I76" s="13" t="s">
        <v>26</v>
      </c>
    </row>
    <row r="77" spans="1:9" s="8" customFormat="1" ht="18" customHeight="1" outlineLevel="1" x14ac:dyDescent="0.2">
      <c r="A77" s="9" t="s">
        <v>120</v>
      </c>
      <c r="B77" s="9" t="s">
        <v>17</v>
      </c>
      <c r="C77" s="9" t="s">
        <v>122</v>
      </c>
      <c r="D77" s="146" t="str">
        <f>HYPERLINK("https://cloud.mail.ru/public/KTEd/TnN86Ss9r","Ссылка")</f>
        <v>Ссылка</v>
      </c>
      <c r="E77" s="147" t="str">
        <f>HYPERLINK("https://adv-map.ru/place/?LINK=4d227d84fbf6112ae75be69e735c8023","Ссылка")</f>
        <v>Ссылка</v>
      </c>
      <c r="F77" s="9" t="s">
        <v>121</v>
      </c>
      <c r="G77" s="10" t="s">
        <v>16</v>
      </c>
      <c r="H77" s="11">
        <v>27000</v>
      </c>
      <c r="I77" s="13" t="s">
        <v>26</v>
      </c>
    </row>
    <row r="78" spans="1:9" s="8" customFormat="1" ht="18" customHeight="1" outlineLevel="1" x14ac:dyDescent="0.2">
      <c r="A78" s="9" t="s">
        <v>123</v>
      </c>
      <c r="B78" s="9" t="s">
        <v>13</v>
      </c>
      <c r="C78" s="9" t="s">
        <v>124</v>
      </c>
      <c r="D78" s="148" t="str">
        <f>HYPERLINK("https://cloud.mail.ru/public/DKTo/P52xXdEWm","Ссылка")</f>
        <v>Ссылка</v>
      </c>
      <c r="E78" s="149" t="str">
        <f>HYPERLINK("https://adv-map.ru/place/?LINK=93b178ad6691f9f331f40474c6869cdc","Ссылка")</f>
        <v>Ссылка</v>
      </c>
      <c r="F78" s="9" t="s">
        <v>125</v>
      </c>
      <c r="G78" s="10" t="s">
        <v>16</v>
      </c>
      <c r="H78" s="11">
        <v>31000</v>
      </c>
      <c r="I78" s="13" t="s">
        <v>26</v>
      </c>
    </row>
    <row r="79" spans="1:9" s="8" customFormat="1" ht="18" customHeight="1" outlineLevel="1" x14ac:dyDescent="0.2">
      <c r="A79" s="9" t="s">
        <v>123</v>
      </c>
      <c r="B79" s="9" t="s">
        <v>17</v>
      </c>
      <c r="C79" s="9" t="s">
        <v>124</v>
      </c>
      <c r="D79" s="150" t="str">
        <f>HYPERLINK("https://cloud.mail.ru/public/XdCj/RHK7f5j2Y","Ссылка")</f>
        <v>Ссылка</v>
      </c>
      <c r="E79" s="151" t="str">
        <f>HYPERLINK("https://adv-map.ru/place/?LINK=2a7fc1adbb856d9251b4806f2148e57b","Ссылка")</f>
        <v>Ссылка</v>
      </c>
      <c r="F79" s="9" t="s">
        <v>125</v>
      </c>
      <c r="G79" s="10" t="s">
        <v>16</v>
      </c>
      <c r="H79" s="11">
        <v>29000</v>
      </c>
      <c r="I79" s="13" t="s">
        <v>126</v>
      </c>
    </row>
    <row r="80" spans="1:9" s="8" customFormat="1" ht="18" customHeight="1" outlineLevel="1" x14ac:dyDescent="0.2">
      <c r="A80" s="9" t="s">
        <v>127</v>
      </c>
      <c r="B80" s="9" t="s">
        <v>17</v>
      </c>
      <c r="C80" s="9" t="s">
        <v>128</v>
      </c>
      <c r="D80" s="152" t="str">
        <f>HYPERLINK("https://cloud.mail.ru/public/5y8o/LBnMS7E1M","Ссылка")</f>
        <v>Ссылка</v>
      </c>
      <c r="E80" s="153" t="str">
        <f>HYPERLINK("https://adv-map.ru/place/?LINK=682ff4fd7b351f0e06189c64fbd782cf","Ссылка")</f>
        <v>Ссылка</v>
      </c>
      <c r="F80" s="9" t="s">
        <v>129</v>
      </c>
      <c r="G80" s="10" t="s">
        <v>16</v>
      </c>
      <c r="H80" s="11">
        <v>27000</v>
      </c>
      <c r="I80" s="12"/>
    </row>
    <row r="81" spans="1:9" s="8" customFormat="1" ht="18" customHeight="1" outlineLevel="1" x14ac:dyDescent="0.2">
      <c r="A81" s="9" t="s">
        <v>130</v>
      </c>
      <c r="B81" s="9" t="s">
        <v>13</v>
      </c>
      <c r="C81" s="9" t="s">
        <v>131</v>
      </c>
      <c r="D81" s="154" t="str">
        <f>HYPERLINK("https://cloud.mail.ru/public/ESkM/8EdgMC6ni","Ссылка")</f>
        <v>Ссылка</v>
      </c>
      <c r="E81" s="155" t="str">
        <f>HYPERLINK("https://adv-map.ru/place/?LINK=b1c832983b86ed59f22b24ca245fd7fc","Ссылка")</f>
        <v>Ссылка</v>
      </c>
      <c r="F81" s="9" t="s">
        <v>132</v>
      </c>
      <c r="G81" s="10" t="s">
        <v>16</v>
      </c>
      <c r="H81" s="11">
        <v>31000</v>
      </c>
      <c r="I81" s="13" t="s">
        <v>26</v>
      </c>
    </row>
    <row r="82" spans="1:9" s="8" customFormat="1" ht="18" customHeight="1" outlineLevel="1" x14ac:dyDescent="0.2">
      <c r="A82" s="9" t="s">
        <v>130</v>
      </c>
      <c r="B82" s="9" t="s">
        <v>17</v>
      </c>
      <c r="C82" s="9" t="s">
        <v>131</v>
      </c>
      <c r="D82" s="156" t="str">
        <f>HYPERLINK("https://cloud.mail.ru/public/CZ62/cWJgjN9Fo","Ссылка")</f>
        <v>Ссылка</v>
      </c>
      <c r="E82" s="157" t="str">
        <f>HYPERLINK("https://adv-map.ru/place/?LINK=7cb201e786bc140e50a4c747b7c4d1ae","Ссылка")</f>
        <v>Ссылка</v>
      </c>
      <c r="F82" s="9" t="s">
        <v>132</v>
      </c>
      <c r="G82" s="10" t="s">
        <v>16</v>
      </c>
      <c r="H82" s="11">
        <v>27000</v>
      </c>
      <c r="I82" s="12"/>
    </row>
    <row r="83" spans="1:9" s="8" customFormat="1" ht="18" customHeight="1" outlineLevel="1" x14ac:dyDescent="0.2">
      <c r="A83" s="9" t="s">
        <v>133</v>
      </c>
      <c r="B83" s="9" t="s">
        <v>13</v>
      </c>
      <c r="C83" s="9" t="s">
        <v>134</v>
      </c>
      <c r="D83" s="158" t="str">
        <f>HYPERLINK("https://cloud.mail.ru/public/tfhN/JqsbmVC6y","Ссылка")</f>
        <v>Ссылка</v>
      </c>
      <c r="E83" s="159" t="str">
        <f>HYPERLINK("https://adv-map.ru/place/?LINK=16560120ec40775806041ff942992b02","Ссылка")</f>
        <v>Ссылка</v>
      </c>
      <c r="F83" s="9" t="s">
        <v>135</v>
      </c>
      <c r="G83" s="10" t="s">
        <v>16</v>
      </c>
      <c r="H83" s="11">
        <v>33000</v>
      </c>
      <c r="I83" s="13" t="s">
        <v>26</v>
      </c>
    </row>
    <row r="84" spans="1:9" s="8" customFormat="1" ht="18" customHeight="1" outlineLevel="1" x14ac:dyDescent="0.2">
      <c r="A84" s="9" t="s">
        <v>133</v>
      </c>
      <c r="B84" s="9" t="s">
        <v>17</v>
      </c>
      <c r="C84" s="9" t="s">
        <v>134</v>
      </c>
      <c r="D84" s="160" t="str">
        <f>HYPERLINK("https://cloud.mail.ru/public/w6G8/bZMS5bAws","Ссылка")</f>
        <v>Ссылка</v>
      </c>
      <c r="E84" s="161" t="str">
        <f>HYPERLINK("https://adv-map.ru/place/?LINK=2b563d2086a63a2b97693adec1098ae5","Ссылка")</f>
        <v>Ссылка</v>
      </c>
      <c r="F84" s="9" t="s">
        <v>135</v>
      </c>
      <c r="G84" s="10" t="s">
        <v>16</v>
      </c>
      <c r="H84" s="11">
        <v>29000</v>
      </c>
      <c r="I84" s="13" t="s">
        <v>26</v>
      </c>
    </row>
    <row r="85" spans="1:9" s="8" customFormat="1" ht="18" customHeight="1" outlineLevel="1" x14ac:dyDescent="0.2">
      <c r="A85" s="9" t="s">
        <v>136</v>
      </c>
      <c r="B85" s="9" t="s">
        <v>13</v>
      </c>
      <c r="C85" s="9" t="s">
        <v>137</v>
      </c>
      <c r="D85" s="162" t="str">
        <f>HYPERLINK("https://cloud.mail.ru/public/xEta/YegWpN7gz","Ссылка")</f>
        <v>Ссылка</v>
      </c>
      <c r="E85" s="163" t="str">
        <f>HYPERLINK("https://adv-map.ru/place/?LINK=efd5fccd648f261d67a92594a6fd1758","Ссылка")</f>
        <v>Ссылка</v>
      </c>
      <c r="F85" s="9" t="s">
        <v>138</v>
      </c>
      <c r="G85" s="10" t="s">
        <v>16</v>
      </c>
      <c r="H85" s="11">
        <v>31000</v>
      </c>
      <c r="I85" s="13" t="s">
        <v>47</v>
      </c>
    </row>
    <row r="86" spans="1:9" s="8" customFormat="1" ht="18" customHeight="1" outlineLevel="1" x14ac:dyDescent="0.2">
      <c r="A86" s="9" t="s">
        <v>136</v>
      </c>
      <c r="B86" s="9" t="s">
        <v>17</v>
      </c>
      <c r="C86" s="9" t="s">
        <v>137</v>
      </c>
      <c r="D86" s="164" t="str">
        <f>HYPERLINK("https://cloud.mail.ru/public/Qf2m/SdFQ5SEth","Ссылка")</f>
        <v>Ссылка</v>
      </c>
      <c r="E86" s="165" t="str">
        <f>HYPERLINK("https://adv-map.ru/place/?LINK=17f780bd69b46975c75b57aa4345e65a","Ссылка")</f>
        <v>Ссылка</v>
      </c>
      <c r="F86" s="9" t="s">
        <v>138</v>
      </c>
      <c r="G86" s="10" t="s">
        <v>16</v>
      </c>
      <c r="H86" s="11">
        <v>25000</v>
      </c>
      <c r="I86" s="12"/>
    </row>
    <row r="87" spans="1:9" s="8" customFormat="1" ht="18" customHeight="1" outlineLevel="1" x14ac:dyDescent="0.2">
      <c r="A87" s="9" t="s">
        <v>139</v>
      </c>
      <c r="B87" s="9" t="s">
        <v>13</v>
      </c>
      <c r="C87" s="9" t="s">
        <v>137</v>
      </c>
      <c r="D87" s="166" t="str">
        <f>HYPERLINK("https://cloud.mail.ru/public/qj6o/3U72SnSWp","Ссылка")</f>
        <v>Ссылка</v>
      </c>
      <c r="E87" s="167" t="str">
        <f>HYPERLINK("https://adv-map.ru/place/?LINK=0a05f964821065196787f6a7add39624","Ссылка")</f>
        <v>Ссылка</v>
      </c>
      <c r="F87" s="9" t="s">
        <v>140</v>
      </c>
      <c r="G87" s="10" t="s">
        <v>16</v>
      </c>
      <c r="H87" s="11">
        <v>33000</v>
      </c>
      <c r="I87" s="12"/>
    </row>
    <row r="88" spans="1:9" s="8" customFormat="1" ht="18" customHeight="1" outlineLevel="1" x14ac:dyDescent="0.2">
      <c r="A88" s="9" t="s">
        <v>139</v>
      </c>
      <c r="B88" s="9" t="s">
        <v>17</v>
      </c>
      <c r="C88" s="9" t="s">
        <v>137</v>
      </c>
      <c r="D88" s="168" t="str">
        <f>HYPERLINK("https://cloud.mail.ru/public/9V7M/NJK2hU1Hr","Ссылка")</f>
        <v>Ссылка</v>
      </c>
      <c r="E88" s="169" t="str">
        <f>HYPERLINK("https://adv-map.ru/place/?LINK=6b79beec3110e127b426e7fbdba25fcc","Ссылка")</f>
        <v>Ссылка</v>
      </c>
      <c r="F88" s="9" t="s">
        <v>140</v>
      </c>
      <c r="G88" s="10" t="s">
        <v>16</v>
      </c>
      <c r="H88" s="11">
        <v>25000</v>
      </c>
      <c r="I88" s="12"/>
    </row>
    <row r="89" spans="1:9" s="8" customFormat="1" ht="18" customHeight="1" outlineLevel="1" x14ac:dyDescent="0.2">
      <c r="A89" s="9" t="s">
        <v>141</v>
      </c>
      <c r="B89" s="9" t="s">
        <v>13</v>
      </c>
      <c r="C89" s="9" t="s">
        <v>142</v>
      </c>
      <c r="D89" s="170" t="str">
        <f>HYPERLINK("https://cloud.mail.ru/public/eRwh/n3eX8sjBi","Ссылка")</f>
        <v>Ссылка</v>
      </c>
      <c r="E89" s="171" t="str">
        <f>HYPERLINK("https://adv-map.ru/place/?LINK=ae55d7c1d4fa9f5b7653edd10a97dc8d","Ссылка")</f>
        <v>Ссылка</v>
      </c>
      <c r="F89" s="9" t="s">
        <v>143</v>
      </c>
      <c r="G89" s="10" t="s">
        <v>16</v>
      </c>
      <c r="H89" s="11">
        <v>29000</v>
      </c>
      <c r="I89" s="13" t="s">
        <v>26</v>
      </c>
    </row>
    <row r="90" spans="1:9" s="8" customFormat="1" ht="18" customHeight="1" outlineLevel="1" x14ac:dyDescent="0.2">
      <c r="A90" s="9" t="s">
        <v>141</v>
      </c>
      <c r="B90" s="9" t="s">
        <v>17</v>
      </c>
      <c r="C90" s="9" t="s">
        <v>142</v>
      </c>
      <c r="D90" s="172" t="str">
        <f>HYPERLINK("https://cloud.mail.ru/public/V1as/JX386MfqK","Ссылка")</f>
        <v>Ссылка</v>
      </c>
      <c r="E90" s="173" t="str">
        <f>HYPERLINK("https://adv-map.ru/place/?LINK=62eb25fb5dda79f3300c24f757580668","Ссылка")</f>
        <v>Ссылка</v>
      </c>
      <c r="F90" s="9" t="s">
        <v>143</v>
      </c>
      <c r="G90" s="10" t="s">
        <v>16</v>
      </c>
      <c r="H90" s="11">
        <v>25000</v>
      </c>
      <c r="I90" s="12"/>
    </row>
    <row r="91" spans="1:9" s="8" customFormat="1" ht="18" customHeight="1" outlineLevel="1" x14ac:dyDescent="0.2">
      <c r="A91" s="9" t="s">
        <v>144</v>
      </c>
      <c r="B91" s="9" t="s">
        <v>13</v>
      </c>
      <c r="C91" s="9" t="s">
        <v>145</v>
      </c>
      <c r="D91" s="174" t="str">
        <f>HYPERLINK("https://cloud.mail.ru/public/ccN9/Atu4MUon1","Ссылка")</f>
        <v>Ссылка</v>
      </c>
      <c r="E91" s="175" t="str">
        <f>HYPERLINK("https://adv-map.ru/place/?LINK=07354f94499015f26b9600945138451b","Ссылка")</f>
        <v>Ссылка</v>
      </c>
      <c r="F91" s="9" t="s">
        <v>146</v>
      </c>
      <c r="G91" s="10" t="s">
        <v>16</v>
      </c>
      <c r="H91" s="11">
        <v>31000</v>
      </c>
      <c r="I91" s="13" t="s">
        <v>26</v>
      </c>
    </row>
    <row r="92" spans="1:9" s="8" customFormat="1" ht="18" customHeight="1" outlineLevel="1" x14ac:dyDescent="0.2">
      <c r="A92" s="9" t="s">
        <v>144</v>
      </c>
      <c r="B92" s="9" t="s">
        <v>17</v>
      </c>
      <c r="C92" s="9" t="s">
        <v>147</v>
      </c>
      <c r="D92" s="176" t="str">
        <f>HYPERLINK("https://cloud.mail.ru/public/Xcxc/cYtom1QgH","Ссылка")</f>
        <v>Ссылка</v>
      </c>
      <c r="E92" s="177" t="str">
        <f>HYPERLINK("https://adv-map.ru/place/?LINK=99560d207b4d8fb2250f89e0dafc7fa2","Ссылка")</f>
        <v>Ссылка</v>
      </c>
      <c r="F92" s="9" t="s">
        <v>146</v>
      </c>
      <c r="G92" s="10" t="s">
        <v>16</v>
      </c>
      <c r="H92" s="11">
        <v>27000</v>
      </c>
      <c r="I92" s="13" t="s">
        <v>26</v>
      </c>
    </row>
    <row r="93" spans="1:9" s="8" customFormat="1" ht="18" customHeight="1" outlineLevel="1" x14ac:dyDescent="0.2">
      <c r="A93" s="9" t="s">
        <v>148</v>
      </c>
      <c r="B93" s="9" t="s">
        <v>13</v>
      </c>
      <c r="C93" s="9" t="s">
        <v>134</v>
      </c>
      <c r="D93" s="178" t="str">
        <f>HYPERLINK("https://cloud.mail.ru/public/NKhc/9umqnQXiK","Ссылка")</f>
        <v>Ссылка</v>
      </c>
      <c r="E93" s="179" t="str">
        <f>HYPERLINK("https://adv-map.ru/place/?LINK=fae0555e705cc13bffbb30daf93e8606","Ссылка")</f>
        <v>Ссылка</v>
      </c>
      <c r="F93" s="9" t="s">
        <v>149</v>
      </c>
      <c r="G93" s="10" t="s">
        <v>16</v>
      </c>
      <c r="H93" s="11">
        <v>29000</v>
      </c>
      <c r="I93" s="12"/>
    </row>
    <row r="94" spans="1:9" s="8" customFormat="1" ht="18" customHeight="1" outlineLevel="1" x14ac:dyDescent="0.2">
      <c r="A94" s="9" t="s">
        <v>148</v>
      </c>
      <c r="B94" s="9" t="s">
        <v>17</v>
      </c>
      <c r="C94" s="9" t="s">
        <v>134</v>
      </c>
      <c r="D94" s="180" t="str">
        <f>HYPERLINK("https://cloud.mail.ru/public/J9w7/VCbdZB5ry","Ссылка")</f>
        <v>Ссылка</v>
      </c>
      <c r="E94" s="181" t="str">
        <f>HYPERLINK("https://adv-map.ru/place/?LINK=c5273364b61106bf7b0d57c4894419f1","Ссылка")</f>
        <v>Ссылка</v>
      </c>
      <c r="F94" s="9" t="s">
        <v>149</v>
      </c>
      <c r="G94" s="10" t="s">
        <v>16</v>
      </c>
      <c r="H94" s="11">
        <v>27000</v>
      </c>
      <c r="I94" s="12"/>
    </row>
    <row r="95" spans="1:9" s="8" customFormat="1" ht="18" customHeight="1" outlineLevel="1" x14ac:dyDescent="0.2">
      <c r="A95" s="9" t="s">
        <v>150</v>
      </c>
      <c r="B95" s="9" t="s">
        <v>13</v>
      </c>
      <c r="C95" s="9" t="s">
        <v>151</v>
      </c>
      <c r="D95" s="182" t="str">
        <f>HYPERLINK("https://cloud.mail.ru/public/T9Ke/KRzHqdnmc","Ссылка")</f>
        <v>Ссылка</v>
      </c>
      <c r="E95" s="183" t="str">
        <f>HYPERLINK("https://adv-map.ru/place/?LINK=39f6ff0262a821ff9c4da8339389647f","Ссылка")</f>
        <v>Ссылка</v>
      </c>
      <c r="F95" s="9" t="s">
        <v>152</v>
      </c>
      <c r="G95" s="10" t="s">
        <v>16</v>
      </c>
      <c r="H95" s="11">
        <v>33000</v>
      </c>
      <c r="I95" s="13" t="s">
        <v>86</v>
      </c>
    </row>
    <row r="96" spans="1:9" s="8" customFormat="1" ht="18" customHeight="1" outlineLevel="1" x14ac:dyDescent="0.2">
      <c r="A96" s="9" t="s">
        <v>150</v>
      </c>
      <c r="B96" s="9" t="s">
        <v>17</v>
      </c>
      <c r="C96" s="9" t="s">
        <v>151</v>
      </c>
      <c r="D96" s="184" t="str">
        <f>HYPERLINK("https://cloud.mail.ru/public/zYMn/4iGziK8xs","Ссылка")</f>
        <v>Ссылка</v>
      </c>
      <c r="E96" s="185" t="str">
        <f>HYPERLINK("https://adv-map.ru/place/?LINK=0d3acb35055d54f89d5c9621d4655754","Ссылка")</f>
        <v>Ссылка</v>
      </c>
      <c r="F96" s="9" t="s">
        <v>153</v>
      </c>
      <c r="G96" s="10" t="s">
        <v>16</v>
      </c>
      <c r="H96" s="11">
        <v>29000</v>
      </c>
      <c r="I96" s="12"/>
    </row>
    <row r="97" spans="1:9" s="8" customFormat="1" ht="18" customHeight="1" outlineLevel="1" x14ac:dyDescent="0.2">
      <c r="A97" s="9" t="s">
        <v>154</v>
      </c>
      <c r="B97" s="9" t="s">
        <v>13</v>
      </c>
      <c r="C97" s="9" t="s">
        <v>155</v>
      </c>
      <c r="D97" s="186" t="str">
        <f>HYPERLINK("https://cloud.mail.ru/public/wR5A/BeCTATRbD","Ссылка")</f>
        <v>Ссылка</v>
      </c>
      <c r="E97" s="187" t="str">
        <f>HYPERLINK("https://adv-map.ru/place/?LINK=d120b627381abf2bb76409d90028409c","Ссылка")</f>
        <v>Ссылка</v>
      </c>
      <c r="F97" s="9" t="s">
        <v>156</v>
      </c>
      <c r="G97" s="10" t="s">
        <v>16</v>
      </c>
      <c r="H97" s="11">
        <v>29000</v>
      </c>
      <c r="I97" s="12"/>
    </row>
    <row r="98" spans="1:9" s="8" customFormat="1" ht="18" customHeight="1" outlineLevel="1" x14ac:dyDescent="0.2">
      <c r="A98" s="9" t="s">
        <v>154</v>
      </c>
      <c r="B98" s="9" t="s">
        <v>17</v>
      </c>
      <c r="C98" s="9" t="s">
        <v>155</v>
      </c>
      <c r="D98" s="188" t="str">
        <f>HYPERLINK("https://cloud.mail.ru/public/TY75/ttJuHjstv","Ссылка")</f>
        <v>Ссылка</v>
      </c>
      <c r="E98" s="189" t="str">
        <f>HYPERLINK("https://adv-map.ru/place/?LINK=0eea9a5a76bc6a4e5fc94bcdb83a2f57","Ссылка")</f>
        <v>Ссылка</v>
      </c>
      <c r="F98" s="9" t="s">
        <v>156</v>
      </c>
      <c r="G98" s="10" t="s">
        <v>16</v>
      </c>
      <c r="H98" s="11">
        <v>25000</v>
      </c>
      <c r="I98" s="12"/>
    </row>
    <row r="99" spans="1:9" s="8" customFormat="1" ht="18" customHeight="1" outlineLevel="1" x14ac:dyDescent="0.2">
      <c r="A99" s="9" t="s">
        <v>157</v>
      </c>
      <c r="B99" s="9" t="s">
        <v>13</v>
      </c>
      <c r="C99" s="9" t="s">
        <v>158</v>
      </c>
      <c r="D99" s="190" t="str">
        <f>HYPERLINK("https://cloud.mail.ru/public/E9P7/Njm8JNF9Z","Ссылка")</f>
        <v>Ссылка</v>
      </c>
      <c r="E99" s="191" t="str">
        <f>HYPERLINK("https://adv-map.ru/place/?LINK=160ac8eb67d8f4c7196e3923434f0c34","Ссылка")</f>
        <v>Ссылка</v>
      </c>
      <c r="F99" s="9" t="s">
        <v>159</v>
      </c>
      <c r="G99" s="10" t="s">
        <v>16</v>
      </c>
      <c r="H99" s="11">
        <v>33000</v>
      </c>
      <c r="I99" s="13" t="s">
        <v>26</v>
      </c>
    </row>
    <row r="100" spans="1:9" s="8" customFormat="1" ht="18" customHeight="1" outlineLevel="1" x14ac:dyDescent="0.2">
      <c r="A100" s="9" t="s">
        <v>157</v>
      </c>
      <c r="B100" s="9" t="s">
        <v>17</v>
      </c>
      <c r="C100" s="9" t="s">
        <v>158</v>
      </c>
      <c r="D100" s="192" t="str">
        <f>HYPERLINK("https://cloud.mail.ru/public/jNLS/ytGFK3B7G","Ссылка")</f>
        <v>Ссылка</v>
      </c>
      <c r="E100" s="193" t="str">
        <f>HYPERLINK("https://adv-map.ru/place/?LINK=ccd566209e2b2f0ad0439d19213f5455","Ссылка")</f>
        <v>Ссылка</v>
      </c>
      <c r="F100" s="9" t="s">
        <v>159</v>
      </c>
      <c r="G100" s="10" t="s">
        <v>16</v>
      </c>
      <c r="H100" s="11">
        <v>27000</v>
      </c>
      <c r="I100" s="12"/>
    </row>
    <row r="101" spans="1:9" s="8" customFormat="1" ht="18" customHeight="1" outlineLevel="1" x14ac:dyDescent="0.2">
      <c r="A101" s="9" t="s">
        <v>160</v>
      </c>
      <c r="B101" s="9" t="s">
        <v>13</v>
      </c>
      <c r="C101" s="9" t="s">
        <v>155</v>
      </c>
      <c r="D101" s="194" t="str">
        <f>HYPERLINK("https://cloud.mail.ru/public/ZKCh/a863Wt3NG","Ссылка")</f>
        <v>Ссылка</v>
      </c>
      <c r="E101" s="195" t="str">
        <f>HYPERLINK("https://adv-map.ru/place/?LINK=70e554255125b7e23a816976a023db3b","Ссылка")</f>
        <v>Ссылка</v>
      </c>
      <c r="F101" s="9" t="s">
        <v>161</v>
      </c>
      <c r="G101" s="10" t="s">
        <v>16</v>
      </c>
      <c r="H101" s="11">
        <v>29000</v>
      </c>
      <c r="I101" s="13" t="s">
        <v>47</v>
      </c>
    </row>
    <row r="102" spans="1:9" s="8" customFormat="1" ht="18" customHeight="1" outlineLevel="1" x14ac:dyDescent="0.2">
      <c r="A102" s="9" t="s">
        <v>160</v>
      </c>
      <c r="B102" s="9" t="s">
        <v>17</v>
      </c>
      <c r="C102" s="9" t="s">
        <v>155</v>
      </c>
      <c r="D102" s="196" t="str">
        <f>HYPERLINK("https://cloud.mail.ru/public/Fw82/iKxopX8M1","Ссылка")</f>
        <v>Ссылка</v>
      </c>
      <c r="E102" s="197" t="str">
        <f>HYPERLINK("https://adv-map.ru/place/?LINK=fc04142ab45d58c8382be0f013fe5bfc","Ссылка")</f>
        <v>Ссылка</v>
      </c>
      <c r="F102" s="9" t="s">
        <v>161</v>
      </c>
      <c r="G102" s="10" t="s">
        <v>16</v>
      </c>
      <c r="H102" s="11">
        <v>27000</v>
      </c>
      <c r="I102" s="12"/>
    </row>
    <row r="103" spans="1:9" s="8" customFormat="1" ht="18" customHeight="1" outlineLevel="1" x14ac:dyDescent="0.2">
      <c r="A103" s="9" t="s">
        <v>162</v>
      </c>
      <c r="B103" s="9" t="s">
        <v>13</v>
      </c>
      <c r="C103" s="9" t="s">
        <v>163</v>
      </c>
      <c r="D103" s="198" t="str">
        <f>HYPERLINK("https://cloud.mail.ru/public/JsBQ/pewSm2GcM","Ссылка")</f>
        <v>Ссылка</v>
      </c>
      <c r="E103" s="199" t="str">
        <f>HYPERLINK("https://adv-map.ru/place/?LINK=2d5ecb0d49c75a51a21524c56b048d5a","Ссылка")</f>
        <v>Ссылка</v>
      </c>
      <c r="F103" s="9" t="s">
        <v>164</v>
      </c>
      <c r="G103" s="10" t="s">
        <v>16</v>
      </c>
      <c r="H103" s="11">
        <v>35000</v>
      </c>
      <c r="I103" s="13" t="s">
        <v>26</v>
      </c>
    </row>
    <row r="104" spans="1:9" s="8" customFormat="1" ht="18" customHeight="1" outlineLevel="1" x14ac:dyDescent="0.2">
      <c r="A104" s="9" t="s">
        <v>162</v>
      </c>
      <c r="B104" s="9" t="s">
        <v>165</v>
      </c>
      <c r="C104" s="9" t="s">
        <v>163</v>
      </c>
      <c r="D104" s="200" t="str">
        <f>HYPERLINK("https://cloud.mail.ru/public/Df5z/rv4sK9pX7","Ссылка")</f>
        <v>Ссылка</v>
      </c>
      <c r="E104" s="201" t="str">
        <f>HYPERLINK("https://adv-map.ru/place/?LINK=e4f9eb471c0277590143cde33b9ee99c","Ссылка")</f>
        <v>Ссылка</v>
      </c>
      <c r="F104" s="9" t="s">
        <v>164</v>
      </c>
      <c r="G104" s="10" t="s">
        <v>51</v>
      </c>
      <c r="H104" s="11">
        <v>29000</v>
      </c>
      <c r="I104" s="12"/>
    </row>
    <row r="105" spans="1:9" s="8" customFormat="1" ht="18" customHeight="1" outlineLevel="1" x14ac:dyDescent="0.2">
      <c r="A105" s="9" t="s">
        <v>162</v>
      </c>
      <c r="B105" s="9" t="s">
        <v>166</v>
      </c>
      <c r="C105" s="9" t="s">
        <v>163</v>
      </c>
      <c r="D105" s="200" t="str">
        <f>HYPERLINK("https://cloud.mail.ru/public/Df5z/rv4sK9pX7","Ссылка")</f>
        <v>Ссылка</v>
      </c>
      <c r="E105" s="202" t="str">
        <f>HYPERLINK("https://adv-map.ru/place/?LINK=d445a79daf6097a9cbe0f7bdd987d284","Ссылка")</f>
        <v>Ссылка</v>
      </c>
      <c r="F105" s="9" t="s">
        <v>164</v>
      </c>
      <c r="G105" s="10" t="s">
        <v>51</v>
      </c>
      <c r="H105" s="11">
        <v>29000</v>
      </c>
      <c r="I105" s="13" t="s">
        <v>26</v>
      </c>
    </row>
    <row r="106" spans="1:9" s="8" customFormat="1" ht="18" customHeight="1" outlineLevel="1" x14ac:dyDescent="0.2">
      <c r="A106" s="9" t="s">
        <v>162</v>
      </c>
      <c r="B106" s="9" t="s">
        <v>167</v>
      </c>
      <c r="C106" s="9" t="s">
        <v>163</v>
      </c>
      <c r="D106" s="200" t="str">
        <f>HYPERLINK("https://cloud.mail.ru/public/Df5z/rv4sK9pX7","Ссылка")</f>
        <v>Ссылка</v>
      </c>
      <c r="E106" s="203" t="str">
        <f>HYPERLINK("https://adv-map.ru/place/?LINK=2c7022a5ac147a465ce87894816a864d","Ссылка")</f>
        <v>Ссылка</v>
      </c>
      <c r="F106" s="9" t="s">
        <v>164</v>
      </c>
      <c r="G106" s="10" t="s">
        <v>51</v>
      </c>
      <c r="H106" s="11">
        <v>29000</v>
      </c>
      <c r="I106" s="13" t="s">
        <v>26</v>
      </c>
    </row>
    <row r="107" spans="1:9" s="8" customFormat="1" ht="18" customHeight="1" outlineLevel="1" x14ac:dyDescent="0.2">
      <c r="A107" s="9" t="s">
        <v>168</v>
      </c>
      <c r="B107" s="9" t="s">
        <v>13</v>
      </c>
      <c r="C107" s="9" t="s">
        <v>169</v>
      </c>
      <c r="D107" s="204" t="str">
        <f>HYPERLINK("https://cloud.mail.ru/public/bGFe/Aj7ATabz4","Ссылка")</f>
        <v>Ссылка</v>
      </c>
      <c r="E107" s="205" t="str">
        <f>HYPERLINK("https://adv-map.ru/place/?LINK=6de466fd7222efd620968ed9af269a76","Ссылка")</f>
        <v>Ссылка</v>
      </c>
      <c r="F107" s="9" t="s">
        <v>170</v>
      </c>
      <c r="G107" s="10" t="s">
        <v>16</v>
      </c>
      <c r="H107" s="11">
        <v>29000</v>
      </c>
      <c r="I107" s="12"/>
    </row>
    <row r="108" spans="1:9" s="8" customFormat="1" ht="18" customHeight="1" outlineLevel="1" x14ac:dyDescent="0.2">
      <c r="A108" s="9" t="s">
        <v>168</v>
      </c>
      <c r="B108" s="9" t="s">
        <v>17</v>
      </c>
      <c r="C108" s="9" t="s">
        <v>169</v>
      </c>
      <c r="D108" s="206" t="str">
        <f>HYPERLINK("https://cloud.mail.ru/public/89jA/CGWtESMzc","Ссылка")</f>
        <v>Ссылка</v>
      </c>
      <c r="E108" s="207" t="str">
        <f>HYPERLINK("https://adv-map.ru/place/?LINK=fc35ff8c6d53857dd2c633cc37c3b95d","Ссылка")</f>
        <v>Ссылка</v>
      </c>
      <c r="F108" s="9" t="s">
        <v>170</v>
      </c>
      <c r="G108" s="10" t="s">
        <v>16</v>
      </c>
      <c r="H108" s="11">
        <v>25000</v>
      </c>
      <c r="I108" s="12"/>
    </row>
    <row r="109" spans="1:9" s="8" customFormat="1" ht="18" customHeight="1" outlineLevel="1" x14ac:dyDescent="0.2">
      <c r="A109" s="9" t="s">
        <v>171</v>
      </c>
      <c r="B109" s="9" t="s">
        <v>13</v>
      </c>
      <c r="C109" s="9" t="s">
        <v>172</v>
      </c>
      <c r="D109" s="9"/>
      <c r="E109" s="208" t="str">
        <f>HYPERLINK("https://adv-map.ru/place/?LINK=4b9c5719aa4bbda7773a6f9a3304bed2","Ссылка")</f>
        <v>Ссылка</v>
      </c>
      <c r="F109" s="9" t="s">
        <v>173</v>
      </c>
      <c r="G109" s="10" t="s">
        <v>16</v>
      </c>
      <c r="H109" s="11">
        <v>33000</v>
      </c>
      <c r="I109" s="13" t="s">
        <v>26</v>
      </c>
    </row>
    <row r="110" spans="1:9" s="8" customFormat="1" ht="18" customHeight="1" outlineLevel="1" x14ac:dyDescent="0.2">
      <c r="A110" s="9" t="s">
        <v>171</v>
      </c>
      <c r="B110" s="9" t="s">
        <v>17</v>
      </c>
      <c r="C110" s="9" t="s">
        <v>172</v>
      </c>
      <c r="D110" s="9"/>
      <c r="E110" s="209" t="str">
        <f>HYPERLINK("https://adv-map.ru/place/?LINK=beed45cddc2a6a29565313547e74809c","Ссылка")</f>
        <v>Ссылка</v>
      </c>
      <c r="F110" s="9" t="s">
        <v>173</v>
      </c>
      <c r="G110" s="10" t="s">
        <v>16</v>
      </c>
      <c r="H110" s="11">
        <v>29000</v>
      </c>
      <c r="I110" s="13" t="s">
        <v>26</v>
      </c>
    </row>
    <row r="111" spans="1:9" s="8" customFormat="1" ht="18" customHeight="1" outlineLevel="1" x14ac:dyDescent="0.2">
      <c r="A111" s="9" t="s">
        <v>174</v>
      </c>
      <c r="B111" s="9" t="s">
        <v>17</v>
      </c>
      <c r="C111" s="9" t="s">
        <v>175</v>
      </c>
      <c r="D111" s="210" t="str">
        <f>HYPERLINK("https://cloud.mail.ru/public/5UYb/xEHrmtocq","Ссылка")</f>
        <v>Ссылка</v>
      </c>
      <c r="E111" s="211" t="str">
        <f>HYPERLINK("https://adv-map.ru/place/?LINK=2c56fd4f128b0c495d19702b4eac3b8f","Ссылка")</f>
        <v>Ссылка</v>
      </c>
      <c r="F111" s="9" t="s">
        <v>176</v>
      </c>
      <c r="G111" s="10" t="s">
        <v>16</v>
      </c>
      <c r="H111" s="11">
        <v>23000</v>
      </c>
      <c r="I111" s="12"/>
    </row>
    <row r="112" spans="1:9" s="8" customFormat="1" ht="18" customHeight="1" outlineLevel="1" x14ac:dyDescent="0.2">
      <c r="A112" s="9" t="s">
        <v>177</v>
      </c>
      <c r="B112" s="9" t="s">
        <v>22</v>
      </c>
      <c r="C112" s="9" t="s">
        <v>178</v>
      </c>
      <c r="D112" s="212" t="str">
        <f>HYPERLINK("https://cloud.mail.ru/public/293G/gX2JLgh1r","Ссылка")</f>
        <v>Ссылка</v>
      </c>
      <c r="E112" s="213" t="str">
        <f>HYPERLINK("https://adv-map.ru/place/?LINK=d416eb7b8c6d232c38a624b96f494986","Ссылка")</f>
        <v>Ссылка</v>
      </c>
      <c r="F112" s="9" t="s">
        <v>179</v>
      </c>
      <c r="G112" s="10" t="s">
        <v>16</v>
      </c>
      <c r="H112" s="11">
        <v>23000</v>
      </c>
      <c r="I112" s="12"/>
    </row>
    <row r="113" spans="1:9" s="8" customFormat="1" ht="18" customHeight="1" outlineLevel="1" x14ac:dyDescent="0.2">
      <c r="A113" s="9" t="s">
        <v>177</v>
      </c>
      <c r="B113" s="9" t="s">
        <v>27</v>
      </c>
      <c r="C113" s="9" t="s">
        <v>178</v>
      </c>
      <c r="D113" s="214" t="str">
        <f>HYPERLINK("https://cloud.mail.ru/public/B278/ewyeehR8e","Ссылка")</f>
        <v>Ссылка</v>
      </c>
      <c r="E113" s="215" t="str">
        <f>HYPERLINK("https://adv-map.ru/place/?LINK=f61af908b4e2f542fbe6c55b9be90dac","Ссылка")</f>
        <v>Ссылка</v>
      </c>
      <c r="F113" s="9" t="s">
        <v>179</v>
      </c>
      <c r="G113" s="10" t="s">
        <v>16</v>
      </c>
      <c r="H113" s="11">
        <v>25000</v>
      </c>
      <c r="I113" s="12"/>
    </row>
    <row r="114" spans="1:9" s="8" customFormat="1" ht="18" customHeight="1" outlineLevel="1" x14ac:dyDescent="0.2">
      <c r="A114" s="9" t="s">
        <v>177</v>
      </c>
      <c r="B114" s="9" t="s">
        <v>17</v>
      </c>
      <c r="C114" s="9" t="s">
        <v>178</v>
      </c>
      <c r="D114" s="216" t="str">
        <f>HYPERLINK("https://cloud.mail.ru/public/5M9G/WDzYRN73r","Ссылка")</f>
        <v>Ссылка</v>
      </c>
      <c r="E114" s="217" t="str">
        <f>HYPERLINK("https://adv-map.ru/place/?LINK=542783618a5190b7b90df28334acf945","Ссылка")</f>
        <v>Ссылка</v>
      </c>
      <c r="F114" s="9" t="s">
        <v>179</v>
      </c>
      <c r="G114" s="10" t="s">
        <v>16</v>
      </c>
      <c r="H114" s="11">
        <v>31000</v>
      </c>
      <c r="I114" s="12"/>
    </row>
    <row r="115" spans="1:9" s="8" customFormat="1" ht="18" customHeight="1" outlineLevel="1" x14ac:dyDescent="0.2">
      <c r="A115" s="9" t="s">
        <v>180</v>
      </c>
      <c r="B115" s="9" t="s">
        <v>13</v>
      </c>
      <c r="C115" s="9" t="s">
        <v>181</v>
      </c>
      <c r="D115" s="218" t="str">
        <f>HYPERLINK("https://cloud.mail.ru/public/r5JK/YDZn3bvfB","Ссылка")</f>
        <v>Ссылка</v>
      </c>
      <c r="E115" s="219" t="str">
        <f>HYPERLINK("https://adv-map.ru/place/?LINK=cfeb3bf76580c1dea956fa854a815929","Ссылка")</f>
        <v>Ссылка</v>
      </c>
      <c r="F115" s="9" t="s">
        <v>182</v>
      </c>
      <c r="G115" s="10" t="s">
        <v>16</v>
      </c>
      <c r="H115" s="11">
        <v>29000</v>
      </c>
      <c r="I115" s="12"/>
    </row>
    <row r="116" spans="1:9" s="8" customFormat="1" ht="18" customHeight="1" outlineLevel="1" x14ac:dyDescent="0.2">
      <c r="A116" s="9" t="s">
        <v>180</v>
      </c>
      <c r="B116" s="9" t="s">
        <v>17</v>
      </c>
      <c r="C116" s="9" t="s">
        <v>181</v>
      </c>
      <c r="D116" s="220" t="str">
        <f>HYPERLINK("https://cloud.mail.ru/public/EUxA/jYzn8C2qt","Ссылка")</f>
        <v>Ссылка</v>
      </c>
      <c r="E116" s="221" t="str">
        <f>HYPERLINK("https://adv-map.ru/place/?LINK=fe9a07311d3412c1bf4b7a72575c4e98","Ссылка")</f>
        <v>Ссылка</v>
      </c>
      <c r="F116" s="9" t="s">
        <v>182</v>
      </c>
      <c r="G116" s="10" t="s">
        <v>16</v>
      </c>
      <c r="H116" s="11">
        <v>29000</v>
      </c>
      <c r="I116" s="12"/>
    </row>
    <row r="117" spans="1:9" s="8" customFormat="1" ht="18" customHeight="1" outlineLevel="1" x14ac:dyDescent="0.2">
      <c r="A117" s="9" t="s">
        <v>183</v>
      </c>
      <c r="B117" s="9" t="s">
        <v>13</v>
      </c>
      <c r="C117" s="9" t="s">
        <v>184</v>
      </c>
      <c r="D117" s="222" t="str">
        <f>HYPERLINK("https://cloud.mail.ru/public/u7Sy/Tb3ZSraJb","Ссылка")</f>
        <v>Ссылка</v>
      </c>
      <c r="E117" s="223" t="str">
        <f>HYPERLINK("https://adv-map.ru/place/?LINK=95e75ae0b44edd7cb4a9cc79b0cdbb61","Ссылка")</f>
        <v>Ссылка</v>
      </c>
      <c r="F117" s="9" t="s">
        <v>182</v>
      </c>
      <c r="G117" s="10" t="s">
        <v>16</v>
      </c>
      <c r="H117" s="11">
        <v>29000</v>
      </c>
      <c r="I117" s="13" t="s">
        <v>26</v>
      </c>
    </row>
    <row r="118" spans="1:9" s="8" customFormat="1" ht="18" customHeight="1" outlineLevel="1" x14ac:dyDescent="0.2">
      <c r="A118" s="9" t="s">
        <v>183</v>
      </c>
      <c r="B118" s="9" t="s">
        <v>17</v>
      </c>
      <c r="C118" s="9" t="s">
        <v>184</v>
      </c>
      <c r="D118" s="224" t="str">
        <f>HYPERLINK("https://cloud.mail.ru/public/5a9N/9Cc1d1iZm","Ссылка")</f>
        <v>Ссылка</v>
      </c>
      <c r="E118" s="225" t="str">
        <f>HYPERLINK("https://adv-map.ru/place/?LINK=82020a3eb6df3ba76a1d83d1b5904379","Ссылка")</f>
        <v>Ссылка</v>
      </c>
      <c r="F118" s="9" t="s">
        <v>182</v>
      </c>
      <c r="G118" s="10" t="s">
        <v>16</v>
      </c>
      <c r="H118" s="11">
        <v>31000</v>
      </c>
      <c r="I118" s="13" t="s">
        <v>26</v>
      </c>
    </row>
    <row r="119" spans="1:9" s="8" customFormat="1" ht="18" customHeight="1" outlineLevel="1" x14ac:dyDescent="0.2">
      <c r="A119" s="9" t="s">
        <v>185</v>
      </c>
      <c r="B119" s="9" t="s">
        <v>13</v>
      </c>
      <c r="C119" s="9" t="s">
        <v>186</v>
      </c>
      <c r="D119" s="226" t="str">
        <f>HYPERLINK("https://cloud.mail.ru/public/qgxW/oQQTxqYzG","Ссылка")</f>
        <v>Ссылка</v>
      </c>
      <c r="E119" s="227" t="str">
        <f>HYPERLINK("https://adv-map.ru/place/?LINK=85e0f66b1f2fb94ce6020f9be544a63e","Ссылка")</f>
        <v>Ссылка</v>
      </c>
      <c r="F119" s="9" t="s">
        <v>187</v>
      </c>
      <c r="G119" s="10" t="s">
        <v>16</v>
      </c>
      <c r="H119" s="11">
        <v>33000</v>
      </c>
      <c r="I119" s="13" t="s">
        <v>26</v>
      </c>
    </row>
    <row r="120" spans="1:9" s="8" customFormat="1" ht="18" customHeight="1" outlineLevel="1" x14ac:dyDescent="0.2">
      <c r="A120" s="9" t="s">
        <v>188</v>
      </c>
      <c r="B120" s="9" t="s">
        <v>13</v>
      </c>
      <c r="C120" s="9" t="s">
        <v>189</v>
      </c>
      <c r="D120" s="228" t="str">
        <f>HYPERLINK("https://cloud.mail.ru/public/Kyd4/kFqi4MWGE","Ссылка")</f>
        <v>Ссылка</v>
      </c>
      <c r="E120" s="229" t="str">
        <f>HYPERLINK("https://adv-map.ru/place/?LINK=14a7c6403e4aaba1c93cca13c9569e86","Ссылка")</f>
        <v>Ссылка</v>
      </c>
      <c r="F120" s="9" t="s">
        <v>190</v>
      </c>
      <c r="G120" s="10" t="s">
        <v>191</v>
      </c>
      <c r="H120" s="11">
        <v>50000</v>
      </c>
      <c r="I120" s="13" t="s">
        <v>26</v>
      </c>
    </row>
    <row r="121" spans="1:9" s="8" customFormat="1" ht="18" customHeight="1" outlineLevel="1" x14ac:dyDescent="0.2">
      <c r="A121" s="9" t="s">
        <v>192</v>
      </c>
      <c r="B121" s="9" t="s">
        <v>13</v>
      </c>
      <c r="C121" s="9" t="s">
        <v>193</v>
      </c>
      <c r="D121" s="230" t="str">
        <f>HYPERLINK("https://cloud.mail.ru/public/7ymo/DDLC2CzUq","Ссылка")</f>
        <v>Ссылка</v>
      </c>
      <c r="E121" s="231" t="str">
        <f>HYPERLINK("https://adv-map.ru/place/?LINK=188eada9d57962ce8561043a23bff744","Ссылка")</f>
        <v>Ссылка</v>
      </c>
      <c r="F121" s="9" t="s">
        <v>194</v>
      </c>
      <c r="G121" s="10" t="s">
        <v>16</v>
      </c>
      <c r="H121" s="11">
        <v>27000</v>
      </c>
      <c r="I121" s="12"/>
    </row>
    <row r="122" spans="1:9" s="8" customFormat="1" ht="18" customHeight="1" outlineLevel="1" x14ac:dyDescent="0.2">
      <c r="A122" s="9" t="s">
        <v>192</v>
      </c>
      <c r="B122" s="9" t="s">
        <v>17</v>
      </c>
      <c r="C122" s="9" t="s">
        <v>193</v>
      </c>
      <c r="D122" s="232" t="str">
        <f>HYPERLINK("https://cloud.mail.ru/public/484m/kxMagvpxQ","Ссылка")</f>
        <v>Ссылка</v>
      </c>
      <c r="E122" s="233" t="str">
        <f>HYPERLINK("https://adv-map.ru/place/?LINK=939e5037a2b5df21c9ccc2439f3e2bf2","Ссылка")</f>
        <v>Ссылка</v>
      </c>
      <c r="F122" s="9" t="s">
        <v>194</v>
      </c>
      <c r="G122" s="10" t="s">
        <v>16</v>
      </c>
      <c r="H122" s="11">
        <v>25000</v>
      </c>
      <c r="I122" s="12"/>
    </row>
    <row r="123" spans="1:9" s="8" customFormat="1" ht="18" customHeight="1" outlineLevel="1" x14ac:dyDescent="0.2">
      <c r="A123" s="9" t="s">
        <v>195</v>
      </c>
      <c r="B123" s="9" t="s">
        <v>17</v>
      </c>
      <c r="C123" s="9" t="s">
        <v>196</v>
      </c>
      <c r="D123" s="234" t="str">
        <f>HYPERLINK("https://cloud.mail.ru/public/tuTS/aC6vRTcPB","Ссылка")</f>
        <v>Ссылка</v>
      </c>
      <c r="E123" s="235" t="str">
        <f>HYPERLINK("https://adv-map.ru/place/?LINK=65cb8c4de6a990ff22431f4141f67ab8","Ссылка")</f>
        <v>Ссылка</v>
      </c>
      <c r="F123" s="9" t="s">
        <v>197</v>
      </c>
      <c r="G123" s="10" t="s">
        <v>16</v>
      </c>
      <c r="H123" s="11">
        <v>33000</v>
      </c>
      <c r="I123" s="13" t="s">
        <v>26</v>
      </c>
    </row>
    <row r="124" spans="1:9" s="8" customFormat="1" ht="18" customHeight="1" outlineLevel="1" x14ac:dyDescent="0.2">
      <c r="A124" s="9" t="s">
        <v>198</v>
      </c>
      <c r="B124" s="9" t="s">
        <v>13</v>
      </c>
      <c r="C124" s="9" t="s">
        <v>199</v>
      </c>
      <c r="D124" s="9"/>
      <c r="E124" s="236" t="str">
        <f>HYPERLINK("https://adv-map.ru/place/?LINK=645508e0876957869832f55d3bc312d0","Ссылка")</f>
        <v>Ссылка</v>
      </c>
      <c r="F124" s="9" t="s">
        <v>200</v>
      </c>
      <c r="G124" s="10" t="s">
        <v>16</v>
      </c>
      <c r="H124" s="11">
        <v>23000</v>
      </c>
      <c r="I124" s="13" t="s">
        <v>26</v>
      </c>
    </row>
    <row r="125" spans="1:9" s="8" customFormat="1" ht="18" customHeight="1" outlineLevel="1" x14ac:dyDescent="0.2">
      <c r="A125" s="9" t="s">
        <v>198</v>
      </c>
      <c r="B125" s="9" t="s">
        <v>17</v>
      </c>
      <c r="C125" s="9" t="s">
        <v>199</v>
      </c>
      <c r="D125" s="237" t="str">
        <f>HYPERLINK("https://cloud.mail.ru/public/W4G6/8hwmqfFEg","Ссылка")</f>
        <v>Ссылка</v>
      </c>
      <c r="E125" s="238" t="str">
        <f>HYPERLINK("https://adv-map.ru/place/?LINK=c11c87db1f0361afb3547dcb3217121a","Ссылка")</f>
        <v>Ссылка</v>
      </c>
      <c r="F125" s="9" t="s">
        <v>200</v>
      </c>
      <c r="G125" s="10" t="s">
        <v>16</v>
      </c>
      <c r="H125" s="11">
        <v>21000</v>
      </c>
      <c r="I125" s="13" t="s">
        <v>26</v>
      </c>
    </row>
    <row r="126" spans="1:9" s="8" customFormat="1" ht="18" customHeight="1" outlineLevel="1" x14ac:dyDescent="0.2">
      <c r="A126" s="9" t="s">
        <v>201</v>
      </c>
      <c r="B126" s="9" t="s">
        <v>13</v>
      </c>
      <c r="C126" s="9" t="s">
        <v>202</v>
      </c>
      <c r="D126" s="239" t="str">
        <f>HYPERLINK("https://cloud.mail.ru/public/MBNP/tcv1R8vb3","Ссылка")</f>
        <v>Ссылка</v>
      </c>
      <c r="E126" s="240" t="str">
        <f>HYPERLINK("https://adv-map.ru/place/?LINK=ab3704749e38ed1ef2ae9d1c7ba441e5","Ссылка")</f>
        <v>Ссылка</v>
      </c>
      <c r="F126" s="9" t="s">
        <v>203</v>
      </c>
      <c r="G126" s="10" t="s">
        <v>16</v>
      </c>
      <c r="H126" s="11">
        <v>29000</v>
      </c>
      <c r="I126" s="12"/>
    </row>
    <row r="127" spans="1:9" s="8" customFormat="1" ht="18" customHeight="1" outlineLevel="1" x14ac:dyDescent="0.2">
      <c r="A127" s="9" t="s">
        <v>201</v>
      </c>
      <c r="B127" s="9" t="s">
        <v>17</v>
      </c>
      <c r="C127" s="9" t="s">
        <v>202</v>
      </c>
      <c r="D127" s="241" t="str">
        <f>HYPERLINK("https://cloud.mail.ru/public/XmEG/HVRZwamgM","Ссылка")</f>
        <v>Ссылка</v>
      </c>
      <c r="E127" s="242" t="str">
        <f>HYPERLINK("https://adv-map.ru/place/?LINK=48ed1b010ee374e073de9f7829b05570","Ссылка")</f>
        <v>Ссылка</v>
      </c>
      <c r="F127" s="9" t="s">
        <v>203</v>
      </c>
      <c r="G127" s="10" t="s">
        <v>16</v>
      </c>
      <c r="H127" s="11">
        <v>27000</v>
      </c>
      <c r="I127" s="12"/>
    </row>
    <row r="128" spans="1:9" s="8" customFormat="1" ht="18" customHeight="1" outlineLevel="1" x14ac:dyDescent="0.2">
      <c r="A128" s="9" t="s">
        <v>204</v>
      </c>
      <c r="B128" s="9" t="s">
        <v>13</v>
      </c>
      <c r="C128" s="9" t="s">
        <v>205</v>
      </c>
      <c r="D128" s="243" t="str">
        <f>HYPERLINK("https://cloud.mail.ru/public/na5i/khqP5buUy","Ссылка")</f>
        <v>Ссылка</v>
      </c>
      <c r="E128" s="244" t="str">
        <f>HYPERLINK("https://adv-map.ru/place/?LINK=a596c65036dba498f1c498f1ea9c9485","Ссылка")</f>
        <v>Ссылка</v>
      </c>
      <c r="F128" s="9" t="s">
        <v>206</v>
      </c>
      <c r="G128" s="10" t="s">
        <v>16</v>
      </c>
      <c r="H128" s="11">
        <v>29000</v>
      </c>
      <c r="I128" s="12"/>
    </row>
    <row r="129" spans="1:9" s="8" customFormat="1" ht="18" customHeight="1" outlineLevel="1" x14ac:dyDescent="0.2">
      <c r="A129" s="9" t="s">
        <v>204</v>
      </c>
      <c r="B129" s="9" t="s">
        <v>17</v>
      </c>
      <c r="C129" s="9" t="s">
        <v>205</v>
      </c>
      <c r="D129" s="9"/>
      <c r="E129" s="245" t="str">
        <f>HYPERLINK("https://adv-map.ru/place/?LINK=d6b07ef4f8582bfe1d7e058b4fd310f1","Ссылка")</f>
        <v>Ссылка</v>
      </c>
      <c r="F129" s="9" t="s">
        <v>206</v>
      </c>
      <c r="G129" s="10" t="s">
        <v>16</v>
      </c>
      <c r="H129" s="11">
        <v>27000</v>
      </c>
      <c r="I129" s="13" t="s">
        <v>26</v>
      </c>
    </row>
    <row r="130" spans="1:9" s="8" customFormat="1" ht="18" customHeight="1" outlineLevel="1" x14ac:dyDescent="0.2">
      <c r="A130" s="9" t="s">
        <v>207</v>
      </c>
      <c r="B130" s="9" t="s">
        <v>13</v>
      </c>
      <c r="C130" s="9" t="s">
        <v>208</v>
      </c>
      <c r="D130" s="246" t="str">
        <f>HYPERLINK("https://cloud.mail.ru/public/H44n/BBKxuKzJe","Ссылка")</f>
        <v>Ссылка</v>
      </c>
      <c r="E130" s="247" t="str">
        <f>HYPERLINK("https://adv-map.ru/place/?LINK=432866ba523ceea61ac40aed81abc4cd","Ссылка")</f>
        <v>Ссылка</v>
      </c>
      <c r="F130" s="9" t="s">
        <v>209</v>
      </c>
      <c r="G130" s="10" t="s">
        <v>16</v>
      </c>
      <c r="H130" s="11">
        <v>31000</v>
      </c>
      <c r="I130" s="13" t="s">
        <v>26</v>
      </c>
    </row>
    <row r="131" spans="1:9" s="8" customFormat="1" ht="18" customHeight="1" outlineLevel="1" x14ac:dyDescent="0.2">
      <c r="A131" s="9" t="s">
        <v>207</v>
      </c>
      <c r="B131" s="9" t="s">
        <v>17</v>
      </c>
      <c r="C131" s="9" t="s">
        <v>208</v>
      </c>
      <c r="D131" s="248" t="str">
        <f>HYPERLINK("https://cloud.mail.ru/public/PFJq/CEs9DaLJj","Ссылка")</f>
        <v>Ссылка</v>
      </c>
      <c r="E131" s="249" t="str">
        <f>HYPERLINK("https://adv-map.ru/place/?LINK=a3820d460b54c21ee9f2fcb6b4139542","Ссылка")</f>
        <v>Ссылка</v>
      </c>
      <c r="F131" s="9" t="s">
        <v>209</v>
      </c>
      <c r="G131" s="10" t="s">
        <v>16</v>
      </c>
      <c r="H131" s="11">
        <v>25000</v>
      </c>
      <c r="I131" s="12"/>
    </row>
    <row r="132" spans="1:9" s="8" customFormat="1" ht="18" customHeight="1" outlineLevel="1" x14ac:dyDescent="0.2">
      <c r="A132" s="9" t="s">
        <v>210</v>
      </c>
      <c r="B132" s="9" t="s">
        <v>13</v>
      </c>
      <c r="C132" s="9" t="s">
        <v>211</v>
      </c>
      <c r="D132" s="250" t="str">
        <f>HYPERLINK("https://cloud.mail.ru/public/MzU7/SQaLTrCqW","Ссылка")</f>
        <v>Ссылка</v>
      </c>
      <c r="E132" s="251" t="str">
        <f>HYPERLINK("https://adv-map.ru/place/?LINK=5c0b99fcfeda01b69d027b903e2abcbe","Ссылка")</f>
        <v>Ссылка</v>
      </c>
      <c r="F132" s="9" t="s">
        <v>212</v>
      </c>
      <c r="G132" s="10" t="s">
        <v>16</v>
      </c>
      <c r="H132" s="11">
        <v>33000</v>
      </c>
      <c r="I132" s="13" t="s">
        <v>26</v>
      </c>
    </row>
    <row r="133" spans="1:9" s="8" customFormat="1" ht="18" customHeight="1" outlineLevel="1" x14ac:dyDescent="0.2">
      <c r="A133" s="9" t="s">
        <v>210</v>
      </c>
      <c r="B133" s="9" t="s">
        <v>17</v>
      </c>
      <c r="C133" s="9" t="s">
        <v>211</v>
      </c>
      <c r="D133" s="252" t="str">
        <f>HYPERLINK("https://cloud.mail.ru/public/M11u/p9aoYeisT","Ссылка")</f>
        <v>Ссылка</v>
      </c>
      <c r="E133" s="253" t="str">
        <f>HYPERLINK("https://adv-map.ru/place/?LINK=0c2ce16c1b70bd95d9daa116fe457583","Ссылка")</f>
        <v>Ссылка</v>
      </c>
      <c r="F133" s="9" t="s">
        <v>212</v>
      </c>
      <c r="G133" s="10" t="s">
        <v>16</v>
      </c>
      <c r="H133" s="11">
        <v>31000</v>
      </c>
      <c r="I133" s="13" t="s">
        <v>26</v>
      </c>
    </row>
    <row r="134" spans="1:9" s="8" customFormat="1" ht="18" customHeight="1" outlineLevel="1" x14ac:dyDescent="0.2">
      <c r="A134" s="9" t="s">
        <v>213</v>
      </c>
      <c r="B134" s="9" t="s">
        <v>13</v>
      </c>
      <c r="C134" s="9" t="s">
        <v>214</v>
      </c>
      <c r="D134" s="254" t="str">
        <f>HYPERLINK("https://cloud.mail.ru/public/NLwh/BZc5ndvUf","Ссылка")</f>
        <v>Ссылка</v>
      </c>
      <c r="E134" s="255" t="str">
        <f>HYPERLINK("https://adv-map.ru/place/?LINK=c229091c6eef71fa4f2e65e9d8c4c146","Ссылка")</f>
        <v>Ссылка</v>
      </c>
      <c r="F134" s="9" t="s">
        <v>215</v>
      </c>
      <c r="G134" s="10" t="s">
        <v>16</v>
      </c>
      <c r="H134" s="11">
        <v>29000</v>
      </c>
      <c r="I134" s="13" t="s">
        <v>26</v>
      </c>
    </row>
    <row r="135" spans="1:9" s="8" customFormat="1" ht="18" customHeight="1" outlineLevel="1" x14ac:dyDescent="0.2">
      <c r="A135" s="9" t="s">
        <v>213</v>
      </c>
      <c r="B135" s="9" t="s">
        <v>17</v>
      </c>
      <c r="C135" s="9" t="s">
        <v>214</v>
      </c>
      <c r="D135" s="256" t="str">
        <f>HYPERLINK("https://cloud.mail.ru/public/Myhu/YFRePn4tK","Ссылка")</f>
        <v>Ссылка</v>
      </c>
      <c r="E135" s="257" t="str">
        <f>HYPERLINK("https://adv-map.ru/place/?LINK=45dc3e9a24874047e78fd5076caecdf6","Ссылка")</f>
        <v>Ссылка</v>
      </c>
      <c r="F135" s="9" t="s">
        <v>215</v>
      </c>
      <c r="G135" s="10" t="s">
        <v>16</v>
      </c>
      <c r="H135" s="11">
        <v>27000</v>
      </c>
      <c r="I135" s="12"/>
    </row>
    <row r="136" spans="1:9" s="8" customFormat="1" ht="18" customHeight="1" outlineLevel="1" x14ac:dyDescent="0.2">
      <c r="A136" s="9" t="s">
        <v>216</v>
      </c>
      <c r="B136" s="9" t="s">
        <v>13</v>
      </c>
      <c r="C136" s="9" t="s">
        <v>217</v>
      </c>
      <c r="D136" s="258" t="str">
        <f>HYPERLINK("https://cloud.mail.ru/public/oNWg/AHN2w5gsW","Ссылка")</f>
        <v>Ссылка</v>
      </c>
      <c r="E136" s="259" t="str">
        <f>HYPERLINK("https://adv-map.ru/place/?LINK=37c16cec2d6e195ffbcbe25d8333aebf","Ссылка")</f>
        <v>Ссылка</v>
      </c>
      <c r="F136" s="9" t="s">
        <v>218</v>
      </c>
      <c r="G136" s="10" t="s">
        <v>16</v>
      </c>
      <c r="H136" s="11">
        <v>26000</v>
      </c>
      <c r="I136" s="12"/>
    </row>
    <row r="137" spans="1:9" s="8" customFormat="1" ht="18" customHeight="1" outlineLevel="1" x14ac:dyDescent="0.2">
      <c r="A137" s="9" t="s">
        <v>216</v>
      </c>
      <c r="B137" s="9" t="s">
        <v>17</v>
      </c>
      <c r="C137" s="9" t="s">
        <v>217</v>
      </c>
      <c r="D137" s="258" t="str">
        <f>HYPERLINK("https://cloud.mail.ru/public/oNWg/AHN2w5gsW","Ссылка")</f>
        <v>Ссылка</v>
      </c>
      <c r="E137" s="260" t="str">
        <f>HYPERLINK("https://adv-map.ru/place/?LINK=833ed81df447ea6f4773fc5356c9e99a","Ссылка")</f>
        <v>Ссылка</v>
      </c>
      <c r="F137" s="9" t="s">
        <v>218</v>
      </c>
      <c r="G137" s="10" t="s">
        <v>16</v>
      </c>
      <c r="H137" s="11">
        <v>26000</v>
      </c>
      <c r="I137" s="12"/>
    </row>
    <row r="138" spans="1:9" s="8" customFormat="1" ht="18" customHeight="1" outlineLevel="1" x14ac:dyDescent="0.2">
      <c r="A138" s="9" t="s">
        <v>219</v>
      </c>
      <c r="B138" s="9" t="s">
        <v>13</v>
      </c>
      <c r="C138" s="9" t="s">
        <v>220</v>
      </c>
      <c r="D138" s="261" t="str">
        <f>HYPERLINK("https://cloud.mail.ru/public/pkqG/BxUhWmk6o","Ссылка")</f>
        <v>Ссылка</v>
      </c>
      <c r="E138" s="262" t="str">
        <f>HYPERLINK("https://adv-map.ru/place/?LINK=888ed939b30e105b67630fc9821c06a1","Ссылка")</f>
        <v>Ссылка</v>
      </c>
      <c r="F138" s="9" t="s">
        <v>221</v>
      </c>
      <c r="G138" s="10" t="s">
        <v>16</v>
      </c>
      <c r="H138" s="11">
        <v>29000</v>
      </c>
      <c r="I138" s="13" t="s">
        <v>26</v>
      </c>
    </row>
    <row r="139" spans="1:9" s="8" customFormat="1" ht="18" customHeight="1" outlineLevel="1" x14ac:dyDescent="0.2">
      <c r="A139" s="9" t="s">
        <v>219</v>
      </c>
      <c r="B139" s="9" t="s">
        <v>17</v>
      </c>
      <c r="C139" s="9" t="s">
        <v>220</v>
      </c>
      <c r="D139" s="263" t="str">
        <f>HYPERLINK("https://cloud.mail.ru/public/xDbD/w9M6a1h4m","Ссылка")</f>
        <v>Ссылка</v>
      </c>
      <c r="E139" s="264" t="str">
        <f>HYPERLINK("https://adv-map.ru/place/?LINK=fd9ed6c15cce847cd688ac38e73f7bb7","Ссылка")</f>
        <v>Ссылка</v>
      </c>
      <c r="F139" s="9" t="s">
        <v>221</v>
      </c>
      <c r="G139" s="10" t="s">
        <v>16</v>
      </c>
      <c r="H139" s="11">
        <v>27000</v>
      </c>
      <c r="I139" s="13" t="s">
        <v>26</v>
      </c>
    </row>
    <row r="140" spans="1:9" s="8" customFormat="1" ht="18" customHeight="1" outlineLevel="1" x14ac:dyDescent="0.2">
      <c r="A140" s="9" t="s">
        <v>222</v>
      </c>
      <c r="B140" s="9" t="s">
        <v>17</v>
      </c>
      <c r="C140" s="9" t="s">
        <v>223</v>
      </c>
      <c r="D140" s="265" t="str">
        <f>HYPERLINK("https://cloud.mail.ru/public/YJr1/6f3942oWa","Ссылка")</f>
        <v>Ссылка</v>
      </c>
      <c r="E140" s="266" t="str">
        <f>HYPERLINK("https://adv-map.ru/place/?LINK=02271447060041b09e39159ce8d7af86","Ссылка")</f>
        <v>Ссылка</v>
      </c>
      <c r="F140" s="9" t="s">
        <v>224</v>
      </c>
      <c r="G140" s="10" t="s">
        <v>16</v>
      </c>
      <c r="H140" s="11">
        <v>29000</v>
      </c>
      <c r="I140" s="12"/>
    </row>
    <row r="141" spans="1:9" s="8" customFormat="1" ht="18" customHeight="1" outlineLevel="1" x14ac:dyDescent="0.2">
      <c r="A141" s="9" t="s">
        <v>225</v>
      </c>
      <c r="B141" s="9" t="s">
        <v>13</v>
      </c>
      <c r="C141" s="9" t="s">
        <v>220</v>
      </c>
      <c r="D141" s="267" t="str">
        <f>HYPERLINK("https://cloud.mail.ru/public/FkEJ/jbYzBsuRx","Ссылка")</f>
        <v>Ссылка</v>
      </c>
      <c r="E141" s="268" t="str">
        <f>HYPERLINK("https://adv-map.ru/place/?LINK=09b67b40c70cee124c95faeb025bad6c","Ссылка")</f>
        <v>Ссылка</v>
      </c>
      <c r="F141" s="9" t="s">
        <v>226</v>
      </c>
      <c r="G141" s="10" t="s">
        <v>16</v>
      </c>
      <c r="H141" s="11">
        <v>29000</v>
      </c>
      <c r="I141" s="13" t="s">
        <v>26</v>
      </c>
    </row>
    <row r="142" spans="1:9" s="8" customFormat="1" ht="18" customHeight="1" outlineLevel="1" x14ac:dyDescent="0.2">
      <c r="A142" s="9" t="s">
        <v>225</v>
      </c>
      <c r="B142" s="9" t="s">
        <v>17</v>
      </c>
      <c r="C142" s="9" t="s">
        <v>220</v>
      </c>
      <c r="D142" s="269" t="str">
        <f>HYPERLINK("https://cloud.mail.ru/public/ywji/u6v9vFz7M","Ссылка")</f>
        <v>Ссылка</v>
      </c>
      <c r="E142" s="270" t="str">
        <f>HYPERLINK("https://adv-map.ru/place/?LINK=662365dd12521e20b6b3eced3ce759eb","Ссылка")</f>
        <v>Ссылка</v>
      </c>
      <c r="F142" s="9" t="s">
        <v>226</v>
      </c>
      <c r="G142" s="10" t="s">
        <v>16</v>
      </c>
      <c r="H142" s="11">
        <v>27000</v>
      </c>
      <c r="I142" s="13" t="s">
        <v>26</v>
      </c>
    </row>
    <row r="143" spans="1:9" s="8" customFormat="1" ht="18" customHeight="1" outlineLevel="1" x14ac:dyDescent="0.2">
      <c r="A143" s="9" t="s">
        <v>227</v>
      </c>
      <c r="B143" s="9" t="s">
        <v>13</v>
      </c>
      <c r="C143" s="9" t="s">
        <v>228</v>
      </c>
      <c r="D143" s="271" t="str">
        <f>HYPERLINK("https://cloud.mail.ru/public/GJnM/RR55NEF18","Ссылка")</f>
        <v>Ссылка</v>
      </c>
      <c r="E143" s="272" t="str">
        <f>HYPERLINK("https://adv-map.ru/place/?LINK=647ad5d142aa41e09b74d7cd6192fb7d","Ссылка")</f>
        <v>Ссылка</v>
      </c>
      <c r="F143" s="9" t="s">
        <v>229</v>
      </c>
      <c r="G143" s="10" t="s">
        <v>16</v>
      </c>
      <c r="H143" s="11">
        <v>33000</v>
      </c>
      <c r="I143" s="13" t="s">
        <v>26</v>
      </c>
    </row>
    <row r="144" spans="1:9" s="8" customFormat="1" ht="18" customHeight="1" outlineLevel="1" x14ac:dyDescent="0.2">
      <c r="A144" s="9" t="s">
        <v>227</v>
      </c>
      <c r="B144" s="9" t="s">
        <v>17</v>
      </c>
      <c r="C144" s="9" t="s">
        <v>228</v>
      </c>
      <c r="D144" s="273" t="str">
        <f>HYPERLINK("https://cloud.mail.ru/public/EXse/JWsCmtPo5","Ссылка")</f>
        <v>Ссылка</v>
      </c>
      <c r="E144" s="274" t="str">
        <f>HYPERLINK("https://adv-map.ru/place/?LINK=2e20cc40f36f2248280379af52bd3e4f","Ссылка")</f>
        <v>Ссылка</v>
      </c>
      <c r="F144" s="9" t="s">
        <v>229</v>
      </c>
      <c r="G144" s="10" t="s">
        <v>16</v>
      </c>
      <c r="H144" s="11">
        <v>27000</v>
      </c>
      <c r="I144" s="12"/>
    </row>
    <row r="145" spans="1:9" s="8" customFormat="1" ht="18" customHeight="1" outlineLevel="1" x14ac:dyDescent="0.2">
      <c r="A145" s="9" t="s">
        <v>230</v>
      </c>
      <c r="B145" s="9" t="s">
        <v>13</v>
      </c>
      <c r="C145" s="9" t="s">
        <v>231</v>
      </c>
      <c r="D145" s="275" t="str">
        <f>HYPERLINK("https://cloud.mail.ru/public/i33K/m7e5JdrBi","Ссылка")</f>
        <v>Ссылка</v>
      </c>
      <c r="E145" s="276" t="str">
        <f>HYPERLINK("https://adv-map.ru/place/?LINK=f36b312a288d293c9359d8d6c6dc870a","Ссылка")</f>
        <v>Ссылка</v>
      </c>
      <c r="F145" s="9" t="s">
        <v>232</v>
      </c>
      <c r="G145" s="10" t="s">
        <v>16</v>
      </c>
      <c r="H145" s="11">
        <v>29000</v>
      </c>
      <c r="I145" s="13" t="s">
        <v>86</v>
      </c>
    </row>
    <row r="146" spans="1:9" s="8" customFormat="1" ht="18" customHeight="1" outlineLevel="1" x14ac:dyDescent="0.2">
      <c r="A146" s="9" t="s">
        <v>230</v>
      </c>
      <c r="B146" s="9" t="s">
        <v>17</v>
      </c>
      <c r="C146" s="9" t="s">
        <v>231</v>
      </c>
      <c r="D146" s="277" t="str">
        <f>HYPERLINK("https://cloud.mail.ru/public/i8WZ/aK5KMcoLq","Ссылка")</f>
        <v>Ссылка</v>
      </c>
      <c r="E146" s="278" t="str">
        <f>HYPERLINK("https://adv-map.ru/place/?LINK=331a02c13523e89234289b00cd96ed70","Ссылка")</f>
        <v>Ссылка</v>
      </c>
      <c r="F146" s="9" t="s">
        <v>232</v>
      </c>
      <c r="G146" s="10" t="s">
        <v>16</v>
      </c>
      <c r="H146" s="11">
        <v>25000</v>
      </c>
      <c r="I146" s="12"/>
    </row>
    <row r="147" spans="1:9" s="8" customFormat="1" ht="18" customHeight="1" outlineLevel="1" x14ac:dyDescent="0.2">
      <c r="A147" s="9" t="s">
        <v>233</v>
      </c>
      <c r="B147" s="9" t="s">
        <v>13</v>
      </c>
      <c r="C147" s="9" t="s">
        <v>234</v>
      </c>
      <c r="D147" s="279" t="str">
        <f>HYPERLINK("https://cloud.mail.ru/public/q13m/CMSprs1nA","Ссылка")</f>
        <v>Ссылка</v>
      </c>
      <c r="E147" s="280" t="str">
        <f>HYPERLINK("https://adv-map.ru/place/?LINK=83198e2a7d103c62d2f0a89ac828807f","Ссылка")</f>
        <v>Ссылка</v>
      </c>
      <c r="F147" s="9" t="s">
        <v>235</v>
      </c>
      <c r="G147" s="10" t="s">
        <v>16</v>
      </c>
      <c r="H147" s="11">
        <v>33000</v>
      </c>
      <c r="I147" s="13" t="s">
        <v>86</v>
      </c>
    </row>
    <row r="148" spans="1:9" s="8" customFormat="1" ht="18" customHeight="1" outlineLevel="1" x14ac:dyDescent="0.2">
      <c r="A148" s="9" t="s">
        <v>233</v>
      </c>
      <c r="B148" s="9" t="s">
        <v>17</v>
      </c>
      <c r="C148" s="9" t="s">
        <v>234</v>
      </c>
      <c r="D148" s="281" t="str">
        <f>HYPERLINK("https://cloud.mail.ru/public/mhR9/kr5EGqpEp","Ссылка")</f>
        <v>Ссылка</v>
      </c>
      <c r="E148" s="282" t="str">
        <f>HYPERLINK("https://adv-map.ru/place/?LINK=6cc5ebdadb565946391b7813239bfb0b","Ссылка")</f>
        <v>Ссылка</v>
      </c>
      <c r="F148" s="9" t="s">
        <v>235</v>
      </c>
      <c r="G148" s="10" t="s">
        <v>16</v>
      </c>
      <c r="H148" s="11">
        <v>23000</v>
      </c>
      <c r="I148" s="12"/>
    </row>
    <row r="149" spans="1:9" s="8" customFormat="1" ht="18" customHeight="1" outlineLevel="1" x14ac:dyDescent="0.2">
      <c r="A149" s="9" t="s">
        <v>236</v>
      </c>
      <c r="B149" s="9" t="s">
        <v>13</v>
      </c>
      <c r="C149" s="9" t="s">
        <v>237</v>
      </c>
      <c r="D149" s="283" t="str">
        <f>HYPERLINK("https://cloud.mail.ru/public/3Nut/NCtmNRZJB","Ссылка")</f>
        <v>Ссылка</v>
      </c>
      <c r="E149" s="284" t="str">
        <f>HYPERLINK("https://adv-map.ru/place/?LINK=9b35977926be758797b96e6afca18aed","Ссылка")</f>
        <v>Ссылка</v>
      </c>
      <c r="F149" s="9" t="s">
        <v>238</v>
      </c>
      <c r="G149" s="10" t="s">
        <v>16</v>
      </c>
      <c r="H149" s="11">
        <v>31000</v>
      </c>
      <c r="I149" s="13" t="s">
        <v>26</v>
      </c>
    </row>
    <row r="150" spans="1:9" s="8" customFormat="1" ht="18" customHeight="1" outlineLevel="1" x14ac:dyDescent="0.2">
      <c r="A150" s="9" t="s">
        <v>236</v>
      </c>
      <c r="B150" s="9" t="s">
        <v>17</v>
      </c>
      <c r="C150" s="9" t="s">
        <v>237</v>
      </c>
      <c r="D150" s="285" t="str">
        <f>HYPERLINK("https://cloud.mail.ru/public/C71G/558pX3rSQ","Ссылка")</f>
        <v>Ссылка</v>
      </c>
      <c r="E150" s="286" t="str">
        <f>HYPERLINK("https://adv-map.ru/place/?LINK=f46a1a155f60a4cde37899d5e0c43b60","Ссылка")</f>
        <v>Ссылка</v>
      </c>
      <c r="F150" s="9" t="s">
        <v>238</v>
      </c>
      <c r="G150" s="10" t="s">
        <v>16</v>
      </c>
      <c r="H150" s="11">
        <v>27000</v>
      </c>
      <c r="I150" s="12"/>
    </row>
    <row r="151" spans="1:9" s="8" customFormat="1" ht="18" customHeight="1" outlineLevel="1" x14ac:dyDescent="0.2">
      <c r="A151" s="9" t="s">
        <v>239</v>
      </c>
      <c r="B151" s="9" t="s">
        <v>13</v>
      </c>
      <c r="C151" s="9" t="s">
        <v>240</v>
      </c>
      <c r="D151" s="287" t="str">
        <f>HYPERLINK("https://cloud.mail.ru/public/CXa9/4RHPjKtUx","Ссылка")</f>
        <v>Ссылка</v>
      </c>
      <c r="E151" s="288" t="str">
        <f>HYPERLINK("https://adv-map.ru/place/?LINK=0d6ea0b7190c169600273f33fc42a4e5","Ссылка")</f>
        <v>Ссылка</v>
      </c>
      <c r="F151" s="9" t="s">
        <v>241</v>
      </c>
      <c r="G151" s="10" t="s">
        <v>16</v>
      </c>
      <c r="H151" s="11">
        <v>33000</v>
      </c>
      <c r="I151" s="13" t="s">
        <v>26</v>
      </c>
    </row>
    <row r="152" spans="1:9" s="8" customFormat="1" ht="18" customHeight="1" outlineLevel="1" x14ac:dyDescent="0.2">
      <c r="A152" s="9" t="s">
        <v>239</v>
      </c>
      <c r="B152" s="9" t="s">
        <v>17</v>
      </c>
      <c r="C152" s="9" t="s">
        <v>240</v>
      </c>
      <c r="D152" s="289" t="str">
        <f>HYPERLINK("https://cloud.mail.ru/public/Srgb/vNZU1Wnze","Ссылка")</f>
        <v>Ссылка</v>
      </c>
      <c r="E152" s="290" t="str">
        <f>HYPERLINK("https://adv-map.ru/place/?LINK=df873840519dfa2f410fc5650c9e8b8c","Ссылка")</f>
        <v>Ссылка</v>
      </c>
      <c r="F152" s="9" t="s">
        <v>241</v>
      </c>
      <c r="G152" s="10" t="s">
        <v>16</v>
      </c>
      <c r="H152" s="11">
        <v>25000</v>
      </c>
      <c r="I152" s="12"/>
    </row>
    <row r="153" spans="1:9" s="8" customFormat="1" ht="18" customHeight="1" outlineLevel="1" x14ac:dyDescent="0.2">
      <c r="A153" s="9" t="s">
        <v>242</v>
      </c>
      <c r="B153" s="9" t="s">
        <v>13</v>
      </c>
      <c r="C153" s="9" t="s">
        <v>243</v>
      </c>
      <c r="D153" s="291" t="str">
        <f>HYPERLINK("https://cloud.mail.ru/public/6Xsz/faQGTuMun","Ссылка")</f>
        <v>Ссылка</v>
      </c>
      <c r="E153" s="292" t="str">
        <f>HYPERLINK("https://adv-map.ru/place/?LINK=628967bc0b2e022c6305ef39ca780b37","Ссылка")</f>
        <v>Ссылка</v>
      </c>
      <c r="F153" s="9" t="s">
        <v>244</v>
      </c>
      <c r="G153" s="10" t="s">
        <v>16</v>
      </c>
      <c r="H153" s="11">
        <v>35000</v>
      </c>
      <c r="I153" s="13" t="s">
        <v>26</v>
      </c>
    </row>
    <row r="154" spans="1:9" s="8" customFormat="1" ht="18" customHeight="1" outlineLevel="1" x14ac:dyDescent="0.2">
      <c r="A154" s="9" t="s">
        <v>242</v>
      </c>
      <c r="B154" s="9" t="s">
        <v>17</v>
      </c>
      <c r="C154" s="9" t="s">
        <v>243</v>
      </c>
      <c r="D154" s="293" t="str">
        <f>HYPERLINK("https://cloud.mail.ru/public/zvo2/XNMtpMrBC","Ссылка")</f>
        <v>Ссылка</v>
      </c>
      <c r="E154" s="294" t="str">
        <f>HYPERLINK("https://adv-map.ru/place/?LINK=40153ba9cc0ccc7df03fd60c60a47309","Ссылка")</f>
        <v>Ссылка</v>
      </c>
      <c r="F154" s="9" t="s">
        <v>244</v>
      </c>
      <c r="G154" s="10" t="s">
        <v>16</v>
      </c>
      <c r="H154" s="11">
        <v>35000</v>
      </c>
      <c r="I154" s="13" t="s">
        <v>26</v>
      </c>
    </row>
    <row r="155" spans="1:9" s="8" customFormat="1" ht="18" customHeight="1" outlineLevel="1" x14ac:dyDescent="0.2">
      <c r="A155" s="9" t="s">
        <v>245</v>
      </c>
      <c r="B155" s="9" t="s">
        <v>17</v>
      </c>
      <c r="C155" s="9" t="s">
        <v>246</v>
      </c>
      <c r="D155" s="295" t="str">
        <f>HYPERLINK("https://cloud.mail.ru/public/feRL/LgQBmAGAf","Ссылка")</f>
        <v>Ссылка</v>
      </c>
      <c r="E155" s="296" t="str">
        <f>HYPERLINK("https://adv-map.ru/place/?LINK=44ebd86e8de32bf2ab0fca71cfb3cf68","Ссылка")</f>
        <v>Ссылка</v>
      </c>
      <c r="F155" s="9" t="s">
        <v>247</v>
      </c>
      <c r="G155" s="10" t="s">
        <v>16</v>
      </c>
      <c r="H155" s="11">
        <v>35000</v>
      </c>
      <c r="I155" s="13" t="s">
        <v>86</v>
      </c>
    </row>
    <row r="156" spans="1:9" s="8" customFormat="1" ht="18" customHeight="1" outlineLevel="1" x14ac:dyDescent="0.2">
      <c r="A156" s="9" t="s">
        <v>248</v>
      </c>
      <c r="B156" s="9" t="s">
        <v>13</v>
      </c>
      <c r="C156" s="9" t="s">
        <v>249</v>
      </c>
      <c r="D156" s="295" t="str">
        <f>HYPERLINK("https://cloud.mail.ru/public/feRL/LgQBmAGAf","Ссылка")</f>
        <v>Ссылка</v>
      </c>
      <c r="E156" s="297" t="str">
        <f>HYPERLINK("https://adv-map.ru/place/?LINK=9479267f19b65d01c1c8d5bc95c5ec92","Ссылка")</f>
        <v>Ссылка</v>
      </c>
      <c r="F156" s="9" t="s">
        <v>247</v>
      </c>
      <c r="G156" s="10" t="s">
        <v>16</v>
      </c>
      <c r="H156" s="11">
        <v>35000</v>
      </c>
      <c r="I156" s="13" t="s">
        <v>86</v>
      </c>
    </row>
    <row r="157" spans="1:9" s="8" customFormat="1" ht="18" customHeight="1" outlineLevel="1" x14ac:dyDescent="0.2">
      <c r="A157" s="9" t="s">
        <v>250</v>
      </c>
      <c r="B157" s="9" t="s">
        <v>13</v>
      </c>
      <c r="C157" s="9" t="s">
        <v>251</v>
      </c>
      <c r="D157" s="298" t="str">
        <f>HYPERLINK("https://cloud.mail.ru/public/ENyG/LTMPyvT8Y","Ссылка")</f>
        <v>Ссылка</v>
      </c>
      <c r="E157" s="299" t="str">
        <f>HYPERLINK("https://adv-map.ru/place/?LINK=3d5a7c2e2121aecfdfe0ee07973c3153","Ссылка")</f>
        <v>Ссылка</v>
      </c>
      <c r="F157" s="9" t="s">
        <v>252</v>
      </c>
      <c r="G157" s="10" t="s">
        <v>16</v>
      </c>
      <c r="H157" s="11">
        <v>35000</v>
      </c>
      <c r="I157" s="13" t="s">
        <v>26</v>
      </c>
    </row>
    <row r="158" spans="1:9" s="8" customFormat="1" ht="18" customHeight="1" outlineLevel="1" x14ac:dyDescent="0.2">
      <c r="A158" s="9" t="s">
        <v>250</v>
      </c>
      <c r="B158" s="9" t="s">
        <v>17</v>
      </c>
      <c r="C158" s="9" t="s">
        <v>251</v>
      </c>
      <c r="D158" s="300" t="str">
        <f>HYPERLINK("https://cloud.mail.ru/public/SXSZ/KaSFXCPVd","Ссылка")</f>
        <v>Ссылка</v>
      </c>
      <c r="E158" s="301" t="str">
        <f>HYPERLINK("https://adv-map.ru/place/?LINK=3d9d68be7a719f1519a71bef68764fd9","Ссылка")</f>
        <v>Ссылка</v>
      </c>
      <c r="F158" s="9" t="s">
        <v>252</v>
      </c>
      <c r="G158" s="10" t="s">
        <v>16</v>
      </c>
      <c r="H158" s="11">
        <v>35000</v>
      </c>
      <c r="I158" s="13" t="s">
        <v>26</v>
      </c>
    </row>
    <row r="159" spans="1:9" s="8" customFormat="1" ht="18" customHeight="1" outlineLevel="1" x14ac:dyDescent="0.2">
      <c r="A159" s="9" t="s">
        <v>253</v>
      </c>
      <c r="B159" s="9" t="s">
        <v>22</v>
      </c>
      <c r="C159" s="9" t="s">
        <v>249</v>
      </c>
      <c r="D159" s="302" t="str">
        <f>HYPERLINK("https://cloud.mail.ru/public/iSGr/rZoDAcSRe","Ссылка")</f>
        <v>Ссылка</v>
      </c>
      <c r="E159" s="303" t="str">
        <f>HYPERLINK("https://adv-map.ru/place/?LINK=d175a3297c1250e26966222fa8b705d0","Ссылка")</f>
        <v>Ссылка</v>
      </c>
      <c r="F159" s="9" t="s">
        <v>254</v>
      </c>
      <c r="G159" s="10" t="s">
        <v>51</v>
      </c>
      <c r="H159" s="11">
        <v>31000</v>
      </c>
      <c r="I159" s="13" t="s">
        <v>26</v>
      </c>
    </row>
    <row r="160" spans="1:9" s="8" customFormat="1" ht="18" customHeight="1" outlineLevel="1" x14ac:dyDescent="0.2">
      <c r="A160" s="9" t="s">
        <v>253</v>
      </c>
      <c r="B160" s="9" t="s">
        <v>27</v>
      </c>
      <c r="C160" s="9" t="s">
        <v>249</v>
      </c>
      <c r="D160" s="302" t="str">
        <f>HYPERLINK("https://cloud.mail.ru/public/iSGr/rZoDAcSRe","Ссылка")</f>
        <v>Ссылка</v>
      </c>
      <c r="E160" s="304" t="str">
        <f>HYPERLINK("https://adv-map.ru/place/?LINK=c007824931c7124b9ae8efcc9832d3a4","Ссылка")</f>
        <v>Ссылка</v>
      </c>
      <c r="F160" s="9" t="s">
        <v>254</v>
      </c>
      <c r="G160" s="10" t="s">
        <v>51</v>
      </c>
      <c r="H160" s="11">
        <v>31000</v>
      </c>
      <c r="I160" s="13" t="s">
        <v>26</v>
      </c>
    </row>
    <row r="161" spans="1:9" s="8" customFormat="1" ht="18" customHeight="1" outlineLevel="1" x14ac:dyDescent="0.2">
      <c r="A161" s="9" t="s">
        <v>253</v>
      </c>
      <c r="B161" s="9" t="s">
        <v>28</v>
      </c>
      <c r="C161" s="9" t="s">
        <v>249</v>
      </c>
      <c r="D161" s="302" t="str">
        <f>HYPERLINK("https://cloud.mail.ru/public/iSGr/rZoDAcSRe","Ссылка")</f>
        <v>Ссылка</v>
      </c>
      <c r="E161" s="305" t="str">
        <f>HYPERLINK("https://adv-map.ru/place/?LINK=1f9a19a126d7fc86319aa96a4f2554fb","Ссылка")</f>
        <v>Ссылка</v>
      </c>
      <c r="F161" s="9" t="s">
        <v>254</v>
      </c>
      <c r="G161" s="10" t="s">
        <v>51</v>
      </c>
      <c r="H161" s="11">
        <v>31000</v>
      </c>
      <c r="I161" s="12"/>
    </row>
    <row r="162" spans="1:9" s="8" customFormat="1" ht="18" customHeight="1" outlineLevel="1" x14ac:dyDescent="0.2">
      <c r="A162" s="9" t="s">
        <v>253</v>
      </c>
      <c r="B162" s="9" t="s">
        <v>17</v>
      </c>
      <c r="C162" s="9" t="s">
        <v>249</v>
      </c>
      <c r="D162" s="306" t="str">
        <f>HYPERLINK("https://cloud.mail.ru/public/jhNx/2mUQMLZ5L","Ссылка")</f>
        <v>Ссылка</v>
      </c>
      <c r="E162" s="307" t="str">
        <f>HYPERLINK("https://adv-map.ru/place/?LINK=c973451042f5a013aed38e1ef6a3b9e4","Ссылка")</f>
        <v>Ссылка</v>
      </c>
      <c r="F162" s="9" t="s">
        <v>254</v>
      </c>
      <c r="G162" s="10" t="s">
        <v>16</v>
      </c>
      <c r="H162" s="11">
        <v>27000</v>
      </c>
      <c r="I162" s="13" t="s">
        <v>26</v>
      </c>
    </row>
    <row r="163" spans="1:9" s="8" customFormat="1" ht="18" customHeight="1" outlineLevel="1" x14ac:dyDescent="0.2">
      <c r="A163" s="9" t="s">
        <v>255</v>
      </c>
      <c r="B163" s="9" t="s">
        <v>22</v>
      </c>
      <c r="C163" s="9" t="s">
        <v>256</v>
      </c>
      <c r="D163" s="308" t="str">
        <f>HYPERLINK("https://cloud.mail.ru/public/nmHN/av4jbuAfu","Ссылка")</f>
        <v>Ссылка</v>
      </c>
      <c r="E163" s="309" t="str">
        <f>HYPERLINK("https://adv-map.ru/place/?LINK=b60c2f5d133a0c3bfe228d3838eca1a0","Ссылка")</f>
        <v>Ссылка</v>
      </c>
      <c r="F163" s="9" t="s">
        <v>257</v>
      </c>
      <c r="G163" s="10" t="s">
        <v>51</v>
      </c>
      <c r="H163" s="11">
        <v>31000</v>
      </c>
      <c r="I163" s="13" t="s">
        <v>26</v>
      </c>
    </row>
    <row r="164" spans="1:9" s="8" customFormat="1" ht="18" customHeight="1" outlineLevel="1" x14ac:dyDescent="0.2">
      <c r="A164" s="9" t="s">
        <v>255</v>
      </c>
      <c r="B164" s="9" t="s">
        <v>27</v>
      </c>
      <c r="C164" s="9" t="s">
        <v>256</v>
      </c>
      <c r="D164" s="308" t="str">
        <f>HYPERLINK("https://cloud.mail.ru/public/nmHN/av4jbuAfu","Ссылка")</f>
        <v>Ссылка</v>
      </c>
      <c r="E164" s="310" t="str">
        <f>HYPERLINK("https://adv-map.ru/place/?LINK=e01ddac0a93d47f6f54a48dfaf8ca27a","Ссылка")</f>
        <v>Ссылка</v>
      </c>
      <c r="F164" s="9" t="s">
        <v>257</v>
      </c>
      <c r="G164" s="10" t="s">
        <v>51</v>
      </c>
      <c r="H164" s="11">
        <v>31000</v>
      </c>
      <c r="I164" s="13" t="s">
        <v>26</v>
      </c>
    </row>
    <row r="165" spans="1:9" s="8" customFormat="1" ht="18" customHeight="1" outlineLevel="1" x14ac:dyDescent="0.2">
      <c r="A165" s="9" t="s">
        <v>255</v>
      </c>
      <c r="B165" s="9" t="s">
        <v>28</v>
      </c>
      <c r="C165" s="9" t="s">
        <v>256</v>
      </c>
      <c r="D165" s="308" t="str">
        <f>HYPERLINK("https://cloud.mail.ru/public/nmHN/av4jbuAfu","Ссылка")</f>
        <v>Ссылка</v>
      </c>
      <c r="E165" s="311" t="str">
        <f>HYPERLINK("https://adv-map.ru/place/?LINK=a90930f7d0b4e37ebc0002b4f3c8312b","Ссылка")</f>
        <v>Ссылка</v>
      </c>
      <c r="F165" s="9" t="s">
        <v>257</v>
      </c>
      <c r="G165" s="10" t="s">
        <v>51</v>
      </c>
      <c r="H165" s="11">
        <v>31000</v>
      </c>
      <c r="I165" s="12"/>
    </row>
    <row r="166" spans="1:9" s="8" customFormat="1" ht="18" customHeight="1" outlineLevel="1" x14ac:dyDescent="0.2">
      <c r="A166" s="9" t="s">
        <v>255</v>
      </c>
      <c r="B166" s="9" t="s">
        <v>17</v>
      </c>
      <c r="C166" s="9" t="s">
        <v>256</v>
      </c>
      <c r="D166" s="312" t="str">
        <f>HYPERLINK("https://cloud.mail.ru/public/d1Rz/W64x98Lk1","Ссылка")</f>
        <v>Ссылка</v>
      </c>
      <c r="E166" s="313" t="str">
        <f>HYPERLINK("https://adv-map.ru/place/?LINK=6738cad0cd79adb48cd87d9fddbb8ce4","Ссылка")</f>
        <v>Ссылка</v>
      </c>
      <c r="F166" s="9" t="s">
        <v>257</v>
      </c>
      <c r="G166" s="10" t="s">
        <v>16</v>
      </c>
      <c r="H166" s="11">
        <v>27000</v>
      </c>
      <c r="I166" s="12"/>
    </row>
    <row r="167" spans="1:9" s="8" customFormat="1" ht="18" customHeight="1" outlineLevel="1" x14ac:dyDescent="0.2">
      <c r="A167" s="9" t="s">
        <v>258</v>
      </c>
      <c r="B167" s="9" t="s">
        <v>22</v>
      </c>
      <c r="C167" s="9" t="s">
        <v>259</v>
      </c>
      <c r="D167" s="314" t="str">
        <f>HYPERLINK("https://cloud.mail.ru/public/8963/3QrgYzkmF","Ссылка")</f>
        <v>Ссылка</v>
      </c>
      <c r="E167" s="315" t="str">
        <f>HYPERLINK("https://adv-map.ru/place/?LINK=656f79cf900430633f7d9f805f4603cd","Ссылка")</f>
        <v>Ссылка</v>
      </c>
      <c r="F167" s="9" t="s">
        <v>260</v>
      </c>
      <c r="G167" s="10" t="s">
        <v>51</v>
      </c>
      <c r="H167" s="11">
        <v>30000</v>
      </c>
      <c r="I167" s="12"/>
    </row>
    <row r="168" spans="1:9" s="8" customFormat="1" ht="18" customHeight="1" outlineLevel="1" x14ac:dyDescent="0.2">
      <c r="A168" s="9" t="s">
        <v>258</v>
      </c>
      <c r="B168" s="9" t="s">
        <v>27</v>
      </c>
      <c r="C168" s="9" t="s">
        <v>259</v>
      </c>
      <c r="D168" s="314" t="str">
        <f>HYPERLINK("https://cloud.mail.ru/public/8963/3QrgYzkmF","Ссылка")</f>
        <v>Ссылка</v>
      </c>
      <c r="E168" s="316" t="str">
        <f>HYPERLINK("https://adv-map.ru/place/?LINK=1b53b8b624ffab83f773e538af85c1d8","Ссылка")</f>
        <v>Ссылка</v>
      </c>
      <c r="F168" s="9" t="s">
        <v>260</v>
      </c>
      <c r="G168" s="10" t="s">
        <v>51</v>
      </c>
      <c r="H168" s="11">
        <v>30000</v>
      </c>
      <c r="I168" s="13" t="s">
        <v>261</v>
      </c>
    </row>
    <row r="169" spans="1:9" s="8" customFormat="1" ht="18" customHeight="1" outlineLevel="1" x14ac:dyDescent="0.2">
      <c r="A169" s="9" t="s">
        <v>258</v>
      </c>
      <c r="B169" s="9" t="s">
        <v>28</v>
      </c>
      <c r="C169" s="9" t="s">
        <v>259</v>
      </c>
      <c r="D169" s="314" t="str">
        <f>HYPERLINK("https://cloud.mail.ru/public/8963/3QrgYzkmF","Ссылка")</f>
        <v>Ссылка</v>
      </c>
      <c r="E169" s="317" t="str">
        <f>HYPERLINK("https://adv-map.ru/place/?LINK=ec186ac9efba3260d7f46792ce13f843","Ссылка")</f>
        <v>Ссылка</v>
      </c>
      <c r="F169" s="9" t="s">
        <v>260</v>
      </c>
      <c r="G169" s="10" t="s">
        <v>51</v>
      </c>
      <c r="H169" s="11">
        <v>30000</v>
      </c>
      <c r="I169" s="13" t="s">
        <v>262</v>
      </c>
    </row>
    <row r="170" spans="1:9" s="8" customFormat="1" ht="18" customHeight="1" outlineLevel="1" x14ac:dyDescent="0.2">
      <c r="A170" s="9" t="s">
        <v>258</v>
      </c>
      <c r="B170" s="9" t="s">
        <v>17</v>
      </c>
      <c r="C170" s="9" t="s">
        <v>259</v>
      </c>
      <c r="D170" s="318" t="str">
        <f>HYPERLINK("https://cloud.mail.ru/public/mfxZ/291eYEmve","Ссылка")</f>
        <v>Ссылка</v>
      </c>
      <c r="E170" s="319" t="str">
        <f>HYPERLINK("https://adv-map.ru/place/?LINK=10f8efba616055998c227ff4d599e9d8","Ссылка")</f>
        <v>Ссылка</v>
      </c>
      <c r="F170" s="9" t="s">
        <v>260</v>
      </c>
      <c r="G170" s="10" t="s">
        <v>16</v>
      </c>
      <c r="H170" s="11">
        <v>27000</v>
      </c>
      <c r="I170" s="12"/>
    </row>
    <row r="171" spans="1:9" s="8" customFormat="1" ht="18" customHeight="1" outlineLevel="1" x14ac:dyDescent="0.2">
      <c r="A171" s="9" t="s">
        <v>263</v>
      </c>
      <c r="B171" s="9" t="s">
        <v>22</v>
      </c>
      <c r="C171" s="9" t="s">
        <v>264</v>
      </c>
      <c r="D171" s="320" t="str">
        <f>HYPERLINK("https://cloud.mail.ru/public/DevW/z8X6Hsy2y","Ссылка")</f>
        <v>Ссылка</v>
      </c>
      <c r="E171" s="321" t="str">
        <f>HYPERLINK("https://adv-map.ru/place/?LINK=b510d21ca5bccdb39a2349d17d092eea","Ссылка")</f>
        <v>Ссылка</v>
      </c>
      <c r="F171" s="9" t="s">
        <v>265</v>
      </c>
      <c r="G171" s="10" t="s">
        <v>51</v>
      </c>
      <c r="H171" s="11">
        <v>32000</v>
      </c>
      <c r="I171" s="13" t="s">
        <v>26</v>
      </c>
    </row>
    <row r="172" spans="1:9" s="8" customFormat="1" ht="18" customHeight="1" outlineLevel="1" x14ac:dyDescent="0.2">
      <c r="A172" s="9" t="s">
        <v>263</v>
      </c>
      <c r="B172" s="9" t="s">
        <v>27</v>
      </c>
      <c r="C172" s="9" t="s">
        <v>264</v>
      </c>
      <c r="D172" s="320" t="str">
        <f>HYPERLINK("https://cloud.mail.ru/public/DevW/z8X6Hsy2y","Ссылка")</f>
        <v>Ссылка</v>
      </c>
      <c r="E172" s="322" t="str">
        <f>HYPERLINK("https://adv-map.ru/place/?LINK=1d0f8460461c82f73763cdee50b53e63","Ссылка")</f>
        <v>Ссылка</v>
      </c>
      <c r="F172" s="9" t="s">
        <v>265</v>
      </c>
      <c r="G172" s="10" t="s">
        <v>51</v>
      </c>
      <c r="H172" s="11">
        <v>32000</v>
      </c>
      <c r="I172" s="12"/>
    </row>
    <row r="173" spans="1:9" s="8" customFormat="1" ht="18" customHeight="1" outlineLevel="1" x14ac:dyDescent="0.2">
      <c r="A173" s="9" t="s">
        <v>263</v>
      </c>
      <c r="B173" s="9" t="s">
        <v>28</v>
      </c>
      <c r="C173" s="9" t="s">
        <v>264</v>
      </c>
      <c r="D173" s="320" t="str">
        <f>HYPERLINK("https://cloud.mail.ru/public/DevW/z8X6Hsy2y","Ссылка")</f>
        <v>Ссылка</v>
      </c>
      <c r="E173" s="323" t="str">
        <f>HYPERLINK("https://adv-map.ru/place/?LINK=0ab1a9de6fc5197875137dfac92f0c34","Ссылка")</f>
        <v>Ссылка</v>
      </c>
      <c r="F173" s="9" t="s">
        <v>265</v>
      </c>
      <c r="G173" s="10" t="s">
        <v>51</v>
      </c>
      <c r="H173" s="11">
        <v>32000</v>
      </c>
      <c r="I173" s="13" t="s">
        <v>26</v>
      </c>
    </row>
    <row r="174" spans="1:9" s="8" customFormat="1" ht="18" customHeight="1" outlineLevel="1" x14ac:dyDescent="0.2">
      <c r="A174" s="9" t="s">
        <v>263</v>
      </c>
      <c r="B174" s="9" t="s">
        <v>17</v>
      </c>
      <c r="C174" s="9" t="s">
        <v>264</v>
      </c>
      <c r="D174" s="324" t="str">
        <f>HYPERLINK("https://cloud.mail.ru/public/wcqK/t52qHezak","Ссылка")</f>
        <v>Ссылка</v>
      </c>
      <c r="E174" s="325" t="str">
        <f>HYPERLINK("https://adv-map.ru/place/?LINK=d6750b1d82a198dcabc532d8c43a3e7a","Ссылка")</f>
        <v>Ссылка</v>
      </c>
      <c r="F174" s="9" t="s">
        <v>265</v>
      </c>
      <c r="G174" s="10" t="s">
        <v>16</v>
      </c>
      <c r="H174" s="11">
        <v>29000</v>
      </c>
      <c r="I174" s="13" t="s">
        <v>26</v>
      </c>
    </row>
    <row r="175" spans="1:9" s="8" customFormat="1" ht="18" customHeight="1" outlineLevel="1" x14ac:dyDescent="0.2">
      <c r="A175" s="9" t="s">
        <v>266</v>
      </c>
      <c r="B175" s="9" t="s">
        <v>22</v>
      </c>
      <c r="C175" s="9" t="s">
        <v>267</v>
      </c>
      <c r="D175" s="326" t="str">
        <f>HYPERLINK("https://cloud.mail.ru/public/k4rG/8y9p4tiSN","Ссылка")</f>
        <v>Ссылка</v>
      </c>
      <c r="E175" s="327" t="str">
        <f>HYPERLINK("https://adv-map.ru/place/?LINK=57e369e097ff6930e0ce032b5f031168","Ссылка")</f>
        <v>Ссылка</v>
      </c>
      <c r="F175" s="9" t="s">
        <v>268</v>
      </c>
      <c r="G175" s="10" t="s">
        <v>51</v>
      </c>
      <c r="H175" s="11">
        <v>31000</v>
      </c>
      <c r="I175" s="13" t="s">
        <v>26</v>
      </c>
    </row>
    <row r="176" spans="1:9" s="8" customFormat="1" ht="18" customHeight="1" outlineLevel="1" x14ac:dyDescent="0.2">
      <c r="A176" s="9" t="s">
        <v>266</v>
      </c>
      <c r="B176" s="9" t="s">
        <v>27</v>
      </c>
      <c r="C176" s="9" t="s">
        <v>267</v>
      </c>
      <c r="D176" s="326" t="str">
        <f>HYPERLINK("https://cloud.mail.ru/public/k4rG/8y9p4tiSN","Ссылка")</f>
        <v>Ссылка</v>
      </c>
      <c r="E176" s="328" t="str">
        <f>HYPERLINK("https://adv-map.ru/place/?LINK=029f2d7525eb39df4233487de37c4d9b","Ссылка")</f>
        <v>Ссылка</v>
      </c>
      <c r="F176" s="9" t="s">
        <v>268</v>
      </c>
      <c r="G176" s="10" t="s">
        <v>51</v>
      </c>
      <c r="H176" s="11">
        <v>31000</v>
      </c>
      <c r="I176" s="13" t="s">
        <v>47</v>
      </c>
    </row>
    <row r="177" spans="1:9" s="8" customFormat="1" ht="18" customHeight="1" outlineLevel="1" x14ac:dyDescent="0.2">
      <c r="A177" s="9" t="s">
        <v>266</v>
      </c>
      <c r="B177" s="9" t="s">
        <v>28</v>
      </c>
      <c r="C177" s="9" t="s">
        <v>267</v>
      </c>
      <c r="D177" s="326" t="str">
        <f>HYPERLINK("https://cloud.mail.ru/public/k4rG/8y9p4tiSN","Ссылка")</f>
        <v>Ссылка</v>
      </c>
      <c r="E177" s="329" t="str">
        <f>HYPERLINK("https://adv-map.ru/place/?LINK=354bcb53d28af55f28bec532d1ecda5e","Ссылка")</f>
        <v>Ссылка</v>
      </c>
      <c r="F177" s="9" t="s">
        <v>268</v>
      </c>
      <c r="G177" s="10" t="s">
        <v>51</v>
      </c>
      <c r="H177" s="11">
        <v>31000</v>
      </c>
      <c r="I177" s="12"/>
    </row>
    <row r="178" spans="1:9" s="8" customFormat="1" ht="18" customHeight="1" outlineLevel="1" x14ac:dyDescent="0.2">
      <c r="A178" s="9" t="s">
        <v>266</v>
      </c>
      <c r="B178" s="9" t="s">
        <v>17</v>
      </c>
      <c r="C178" s="9" t="s">
        <v>267</v>
      </c>
      <c r="D178" s="330" t="str">
        <f>HYPERLINK("https://cloud.mail.ru/public/btc9/CypneAjqu","Ссылка")</f>
        <v>Ссылка</v>
      </c>
      <c r="E178" s="331" t="str">
        <f>HYPERLINK("https://adv-map.ru/place/?LINK=d7437b0541c3c5b22505544c1242b634","Ссылка")</f>
        <v>Ссылка</v>
      </c>
      <c r="F178" s="9" t="s">
        <v>268</v>
      </c>
      <c r="G178" s="10" t="s">
        <v>16</v>
      </c>
      <c r="H178" s="11">
        <v>27000</v>
      </c>
      <c r="I178" s="12"/>
    </row>
    <row r="179" spans="1:9" s="8" customFormat="1" ht="18" customHeight="1" outlineLevel="1" x14ac:dyDescent="0.2">
      <c r="A179" s="9" t="s">
        <v>269</v>
      </c>
      <c r="B179" s="9" t="s">
        <v>22</v>
      </c>
      <c r="C179" s="9" t="s">
        <v>270</v>
      </c>
      <c r="D179" s="332" t="str">
        <f>HYPERLINK("https://cloud.mail.ru/public/En29/pQL6jK1sy","Ссылка")</f>
        <v>Ссылка</v>
      </c>
      <c r="E179" s="333" t="str">
        <f>HYPERLINK("https://adv-map.ru/place/?LINK=3cdd0392c5dc350240dddc3f1388be3b","Ссылка")</f>
        <v>Ссылка</v>
      </c>
      <c r="F179" s="9" t="s">
        <v>271</v>
      </c>
      <c r="G179" s="10" t="s">
        <v>51</v>
      </c>
      <c r="H179" s="11">
        <v>30000</v>
      </c>
      <c r="I179" s="13" t="s">
        <v>26</v>
      </c>
    </row>
    <row r="180" spans="1:9" s="8" customFormat="1" ht="18" customHeight="1" outlineLevel="1" x14ac:dyDescent="0.2">
      <c r="A180" s="9" t="s">
        <v>269</v>
      </c>
      <c r="B180" s="9" t="s">
        <v>27</v>
      </c>
      <c r="C180" s="9" t="s">
        <v>270</v>
      </c>
      <c r="D180" s="332" t="str">
        <f>HYPERLINK("https://cloud.mail.ru/public/En29/pQL6jK1sy","Ссылка")</f>
        <v>Ссылка</v>
      </c>
      <c r="E180" s="334" t="str">
        <f>HYPERLINK("https://adv-map.ru/place/?LINK=8792c02626d64353d2cd97f777eabb57","Ссылка")</f>
        <v>Ссылка</v>
      </c>
      <c r="F180" s="9" t="s">
        <v>271</v>
      </c>
      <c r="G180" s="10" t="s">
        <v>51</v>
      </c>
      <c r="H180" s="11">
        <v>30000</v>
      </c>
      <c r="I180" s="13" t="s">
        <v>26</v>
      </c>
    </row>
    <row r="181" spans="1:9" s="8" customFormat="1" ht="18" customHeight="1" outlineLevel="1" x14ac:dyDescent="0.2">
      <c r="A181" s="9" t="s">
        <v>269</v>
      </c>
      <c r="B181" s="9" t="s">
        <v>28</v>
      </c>
      <c r="C181" s="9" t="s">
        <v>270</v>
      </c>
      <c r="D181" s="332" t="str">
        <f>HYPERLINK("https://cloud.mail.ru/public/En29/pQL6jK1sy","Ссылка")</f>
        <v>Ссылка</v>
      </c>
      <c r="E181" s="335" t="str">
        <f>HYPERLINK("https://adv-map.ru/place/?LINK=27151430c50b97bdccc2c9c577d2fd10","Ссылка")</f>
        <v>Ссылка</v>
      </c>
      <c r="F181" s="9" t="s">
        <v>271</v>
      </c>
      <c r="G181" s="10" t="s">
        <v>51</v>
      </c>
      <c r="H181" s="11">
        <v>30000</v>
      </c>
      <c r="I181" s="12"/>
    </row>
    <row r="182" spans="1:9" s="8" customFormat="1" ht="18" customHeight="1" outlineLevel="1" x14ac:dyDescent="0.2">
      <c r="A182" s="9" t="s">
        <v>269</v>
      </c>
      <c r="B182" s="9" t="s">
        <v>17</v>
      </c>
      <c r="C182" s="9" t="s">
        <v>270</v>
      </c>
      <c r="D182" s="336" t="str">
        <f>HYPERLINK("https://cloud.mail.ru/public/GwC2/2yZtxgNcG","Ссылка")</f>
        <v>Ссылка</v>
      </c>
      <c r="E182" s="337" t="str">
        <f>HYPERLINK("https://adv-map.ru/place/?LINK=5a824922fce0ba8b63c0a4a9e9c59825","Ссылка")</f>
        <v>Ссылка</v>
      </c>
      <c r="F182" s="9" t="s">
        <v>271</v>
      </c>
      <c r="G182" s="10" t="s">
        <v>16</v>
      </c>
      <c r="H182" s="11">
        <v>29000</v>
      </c>
      <c r="I182" s="13" t="s">
        <v>26</v>
      </c>
    </row>
    <row r="183" spans="1:9" s="8" customFormat="1" ht="18" customHeight="1" outlineLevel="1" x14ac:dyDescent="0.2">
      <c r="A183" s="9" t="s">
        <v>272</v>
      </c>
      <c r="B183" s="9" t="s">
        <v>13</v>
      </c>
      <c r="C183" s="9" t="s">
        <v>273</v>
      </c>
      <c r="D183" s="338" t="str">
        <f>HYPERLINK("https://cloud.mail.ru/public/tTh1/Zm7TEz4Hv","Ссылка")</f>
        <v>Ссылка</v>
      </c>
      <c r="E183" s="339" t="str">
        <f>HYPERLINK("https://adv-map.ru/place/?LINK=6c00c2895a503a91f387f8098d6e648c","Ссылка")</f>
        <v>Ссылка</v>
      </c>
      <c r="F183" s="9" t="s">
        <v>274</v>
      </c>
      <c r="G183" s="10" t="s">
        <v>16</v>
      </c>
      <c r="H183" s="11">
        <v>31000</v>
      </c>
      <c r="I183" s="13" t="s">
        <v>26</v>
      </c>
    </row>
    <row r="184" spans="1:9" s="8" customFormat="1" ht="18" customHeight="1" outlineLevel="1" x14ac:dyDescent="0.2">
      <c r="A184" s="9" t="s">
        <v>272</v>
      </c>
      <c r="B184" s="9" t="s">
        <v>17</v>
      </c>
      <c r="C184" s="9" t="s">
        <v>273</v>
      </c>
      <c r="D184" s="340" t="str">
        <f>HYPERLINK("https://cloud.mail.ru/public/b6Ya/ChUxJhwbG","Ссылка")</f>
        <v>Ссылка</v>
      </c>
      <c r="E184" s="341" t="str">
        <f>HYPERLINK("https://adv-map.ru/place/?LINK=5f81116a02b58e8e6609d92ed154f816","Ссылка")</f>
        <v>Ссылка</v>
      </c>
      <c r="F184" s="9" t="s">
        <v>274</v>
      </c>
      <c r="G184" s="10" t="s">
        <v>16</v>
      </c>
      <c r="H184" s="11">
        <v>23000</v>
      </c>
      <c r="I184" s="12"/>
    </row>
    <row r="185" spans="1:9" s="8" customFormat="1" ht="18" customHeight="1" outlineLevel="1" x14ac:dyDescent="0.2">
      <c r="A185" s="9" t="s">
        <v>275</v>
      </c>
      <c r="B185" s="9" t="s">
        <v>13</v>
      </c>
      <c r="C185" s="9" t="s">
        <v>276</v>
      </c>
      <c r="D185" s="342" t="str">
        <f>HYPERLINK("https://cloud.mail.ru/public/vUvm/aa8swNKaD","Ссылка")</f>
        <v>Ссылка</v>
      </c>
      <c r="E185" s="343" t="str">
        <f>HYPERLINK("https://adv-map.ru/place/?LINK=5240ed80733bd778c40d7fb89f0866b4","Ссылка")</f>
        <v>Ссылка</v>
      </c>
      <c r="F185" s="9" t="s">
        <v>277</v>
      </c>
      <c r="G185" s="10" t="s">
        <v>16</v>
      </c>
      <c r="H185" s="11">
        <v>31000</v>
      </c>
      <c r="I185" s="13" t="s">
        <v>26</v>
      </c>
    </row>
    <row r="186" spans="1:9" s="8" customFormat="1" ht="18" customHeight="1" outlineLevel="1" x14ac:dyDescent="0.2">
      <c r="A186" s="9" t="s">
        <v>275</v>
      </c>
      <c r="B186" s="9" t="s">
        <v>17</v>
      </c>
      <c r="C186" s="9" t="s">
        <v>276</v>
      </c>
      <c r="D186" s="344" t="str">
        <f>HYPERLINK("https://cloud.mail.ru/public/Q6Hg/DXPVRh7sd","Ссылка")</f>
        <v>Ссылка</v>
      </c>
      <c r="E186" s="345" t="str">
        <f>HYPERLINK("https://adv-map.ru/place/?LINK=b4ede380eb9d2139a5501b45cea30362","Ссылка")</f>
        <v>Ссылка</v>
      </c>
      <c r="F186" s="9" t="s">
        <v>277</v>
      </c>
      <c r="G186" s="10" t="s">
        <v>16</v>
      </c>
      <c r="H186" s="11">
        <v>27000</v>
      </c>
      <c r="I186" s="13" t="s">
        <v>26</v>
      </c>
    </row>
    <row r="187" spans="1:9" s="8" customFormat="1" ht="18" customHeight="1" outlineLevel="1" x14ac:dyDescent="0.2">
      <c r="A187" s="9" t="s">
        <v>278</v>
      </c>
      <c r="B187" s="9" t="s">
        <v>13</v>
      </c>
      <c r="C187" s="9" t="s">
        <v>279</v>
      </c>
      <c r="D187" s="346" t="str">
        <f>HYPERLINK("https://cloud.mail.ru/public/58mN/oQ5smWuSx","Ссылка")</f>
        <v>Ссылка</v>
      </c>
      <c r="E187" s="347" t="str">
        <f>HYPERLINK("https://adv-map.ru/place/?LINK=5c12cc47dbff1557464ba53f2ba931de","Ссылка")</f>
        <v>Ссылка</v>
      </c>
      <c r="F187" s="9" t="s">
        <v>280</v>
      </c>
      <c r="G187" s="10" t="s">
        <v>16</v>
      </c>
      <c r="H187" s="11">
        <v>31000</v>
      </c>
      <c r="I187" s="13" t="s">
        <v>26</v>
      </c>
    </row>
    <row r="188" spans="1:9" s="8" customFormat="1" ht="18" customHeight="1" outlineLevel="1" x14ac:dyDescent="0.2">
      <c r="A188" s="9" t="s">
        <v>278</v>
      </c>
      <c r="B188" s="9" t="s">
        <v>17</v>
      </c>
      <c r="C188" s="9" t="s">
        <v>279</v>
      </c>
      <c r="D188" s="348" t="str">
        <f>HYPERLINK("https://cloud.mail.ru/public/josj/i84ZjscjB","Ссылка")</f>
        <v>Ссылка</v>
      </c>
      <c r="E188" s="349" t="str">
        <f>HYPERLINK("https://adv-map.ru/place/?LINK=1dc8a6a999aad0117c1adb3bc651bfa2","Ссылка")</f>
        <v>Ссылка</v>
      </c>
      <c r="F188" s="9" t="s">
        <v>280</v>
      </c>
      <c r="G188" s="10" t="s">
        <v>16</v>
      </c>
      <c r="H188" s="11">
        <v>27000</v>
      </c>
      <c r="I188" s="12"/>
    </row>
    <row r="189" spans="1:9" s="8" customFormat="1" ht="18" customHeight="1" outlineLevel="1" x14ac:dyDescent="0.2">
      <c r="A189" s="9" t="s">
        <v>281</v>
      </c>
      <c r="B189" s="9" t="s">
        <v>13</v>
      </c>
      <c r="C189" s="9" t="s">
        <v>282</v>
      </c>
      <c r="D189" s="350" t="str">
        <f>HYPERLINK("https://cloud.mail.ru/public/g77H/PQkFojLcr","Ссылка")</f>
        <v>Ссылка</v>
      </c>
      <c r="E189" s="351" t="str">
        <f>HYPERLINK("https://adv-map.ru/place/?LINK=54cee00efb30b7451058b9d1e0eab092","Ссылка")</f>
        <v>Ссылка</v>
      </c>
      <c r="F189" s="9" t="s">
        <v>283</v>
      </c>
      <c r="G189" s="10" t="s">
        <v>16</v>
      </c>
      <c r="H189" s="11">
        <v>31000</v>
      </c>
      <c r="I189" s="13" t="s">
        <v>26</v>
      </c>
    </row>
    <row r="190" spans="1:9" s="8" customFormat="1" ht="18" customHeight="1" outlineLevel="1" x14ac:dyDescent="0.2">
      <c r="A190" s="9" t="s">
        <v>281</v>
      </c>
      <c r="B190" s="9" t="s">
        <v>17</v>
      </c>
      <c r="C190" s="9" t="s">
        <v>282</v>
      </c>
      <c r="D190" s="352" t="str">
        <f>HYPERLINK("https://cloud.mail.ru/public/uM8y/ExWuaNvKe","Ссылка")</f>
        <v>Ссылка</v>
      </c>
      <c r="E190" s="353" t="str">
        <f>HYPERLINK("https://adv-map.ru/place/?LINK=539a7eb3a680e8af2bd3834035c57529","Ссылка")</f>
        <v>Ссылка</v>
      </c>
      <c r="F190" s="9" t="s">
        <v>283</v>
      </c>
      <c r="G190" s="10" t="s">
        <v>16</v>
      </c>
      <c r="H190" s="11">
        <v>23000</v>
      </c>
      <c r="I190" s="13" t="s">
        <v>26</v>
      </c>
    </row>
    <row r="191" spans="1:9" s="8" customFormat="1" ht="18" customHeight="1" outlineLevel="1" x14ac:dyDescent="0.2">
      <c r="A191" s="9" t="s">
        <v>284</v>
      </c>
      <c r="B191" s="9" t="s">
        <v>22</v>
      </c>
      <c r="C191" s="9" t="s">
        <v>285</v>
      </c>
      <c r="D191" s="354" t="str">
        <f>HYPERLINK("https://cloud.mail.ru/public/kT9U/8QDWwwPH6","Ссылка")</f>
        <v>Ссылка</v>
      </c>
      <c r="E191" s="355" t="str">
        <f>HYPERLINK("https://adv-map.ru/place/?LINK=9c51f7c3b5494487c7d36a5a151bbbe7","Ссылка")</f>
        <v>Ссылка</v>
      </c>
      <c r="F191" s="9" t="s">
        <v>286</v>
      </c>
      <c r="G191" s="10" t="s">
        <v>51</v>
      </c>
      <c r="H191" s="11">
        <v>30000</v>
      </c>
      <c r="I191" s="13" t="s">
        <v>26</v>
      </c>
    </row>
    <row r="192" spans="1:9" s="8" customFormat="1" ht="18" customHeight="1" outlineLevel="1" x14ac:dyDescent="0.2">
      <c r="A192" s="9" t="s">
        <v>284</v>
      </c>
      <c r="B192" s="9" t="s">
        <v>27</v>
      </c>
      <c r="C192" s="9" t="s">
        <v>285</v>
      </c>
      <c r="D192" s="354" t="str">
        <f>HYPERLINK("https://cloud.mail.ru/public/kT9U/8QDWwwPH6","Ссылка")</f>
        <v>Ссылка</v>
      </c>
      <c r="E192" s="356" t="str">
        <f>HYPERLINK("https://adv-map.ru/place/?LINK=39f1fa0b4f82c517f6effb4b92aa85bf","Ссылка")</f>
        <v>Ссылка</v>
      </c>
      <c r="F192" s="9" t="s">
        <v>286</v>
      </c>
      <c r="G192" s="10" t="s">
        <v>51</v>
      </c>
      <c r="H192" s="11">
        <v>30000</v>
      </c>
      <c r="I192" s="13" t="s">
        <v>26</v>
      </c>
    </row>
    <row r="193" spans="1:9" s="8" customFormat="1" ht="18" customHeight="1" outlineLevel="1" x14ac:dyDescent="0.2">
      <c r="A193" s="9" t="s">
        <v>284</v>
      </c>
      <c r="B193" s="9" t="s">
        <v>28</v>
      </c>
      <c r="C193" s="9" t="s">
        <v>285</v>
      </c>
      <c r="D193" s="354" t="str">
        <f>HYPERLINK("https://cloud.mail.ru/public/kT9U/8QDWwwPH6","Ссылка")</f>
        <v>Ссылка</v>
      </c>
      <c r="E193" s="357" t="str">
        <f>HYPERLINK("https://adv-map.ru/place/?LINK=a30f8b7e967e766e8d3a1dd825e369c4","Ссылка")</f>
        <v>Ссылка</v>
      </c>
      <c r="F193" s="9" t="s">
        <v>286</v>
      </c>
      <c r="G193" s="10" t="s">
        <v>51</v>
      </c>
      <c r="H193" s="11">
        <v>30000</v>
      </c>
      <c r="I193" s="12"/>
    </row>
    <row r="194" spans="1:9" s="8" customFormat="1" ht="18" customHeight="1" outlineLevel="1" x14ac:dyDescent="0.2">
      <c r="A194" s="9" t="s">
        <v>284</v>
      </c>
      <c r="B194" s="9" t="s">
        <v>17</v>
      </c>
      <c r="C194" s="9" t="s">
        <v>287</v>
      </c>
      <c r="D194" s="358" t="str">
        <f>HYPERLINK("https://cloud.mail.ru/public/aq2U/jZgLEBkWg","Ссылка")</f>
        <v>Ссылка</v>
      </c>
      <c r="E194" s="359" t="str">
        <f>HYPERLINK("https://adv-map.ru/place/?LINK=178313babe5e5d7c71f30a5a10c2a9c6","Ссылка")</f>
        <v>Ссылка</v>
      </c>
      <c r="F194" s="9" t="s">
        <v>286</v>
      </c>
      <c r="G194" s="10" t="s">
        <v>16</v>
      </c>
      <c r="H194" s="11">
        <v>29000</v>
      </c>
      <c r="I194" s="12"/>
    </row>
    <row r="195" spans="1:9" s="8" customFormat="1" ht="18" customHeight="1" outlineLevel="1" x14ac:dyDescent="0.2">
      <c r="A195" s="9" t="s">
        <v>288</v>
      </c>
      <c r="B195" s="9" t="s">
        <v>13</v>
      </c>
      <c r="C195" s="9" t="s">
        <v>289</v>
      </c>
      <c r="D195" s="360" t="str">
        <f>HYPERLINK("https://cloud.mail.ru/public/yL2B/2JN1Npq4T","Ссылка")</f>
        <v>Ссылка</v>
      </c>
      <c r="E195" s="361" t="str">
        <f>HYPERLINK("https://adv-map.ru/place/?LINK=f1d79bfd90519962a9ac1832307b5fab","Ссылка")</f>
        <v>Ссылка</v>
      </c>
      <c r="F195" s="9" t="s">
        <v>290</v>
      </c>
      <c r="G195" s="10" t="s">
        <v>16</v>
      </c>
      <c r="H195" s="11">
        <v>33000</v>
      </c>
      <c r="I195" s="13" t="s">
        <v>26</v>
      </c>
    </row>
    <row r="196" spans="1:9" s="8" customFormat="1" ht="18" customHeight="1" outlineLevel="1" x14ac:dyDescent="0.2">
      <c r="A196" s="9" t="s">
        <v>288</v>
      </c>
      <c r="B196" s="9" t="s">
        <v>17</v>
      </c>
      <c r="C196" s="9" t="s">
        <v>291</v>
      </c>
      <c r="D196" s="362" t="str">
        <f>HYPERLINK("https://cloud.mail.ru/public/iNhn/K4msEf75o","Ссылка")</f>
        <v>Ссылка</v>
      </c>
      <c r="E196" s="363" t="str">
        <f>HYPERLINK("https://adv-map.ru/place/?LINK=60e7a86b536576d7266cd2225b8adc0c","Ссылка")</f>
        <v>Ссылка</v>
      </c>
      <c r="F196" s="9" t="s">
        <v>290</v>
      </c>
      <c r="G196" s="10" t="s">
        <v>16</v>
      </c>
      <c r="H196" s="11">
        <v>31000</v>
      </c>
      <c r="I196" s="13" t="s">
        <v>26</v>
      </c>
    </row>
    <row r="197" spans="1:9" s="8" customFormat="1" ht="18" customHeight="1" outlineLevel="1" x14ac:dyDescent="0.2">
      <c r="A197" s="9" t="s">
        <v>288</v>
      </c>
      <c r="B197" s="9" t="s">
        <v>292</v>
      </c>
      <c r="C197" s="9" t="s">
        <v>291</v>
      </c>
      <c r="D197" s="364" t="str">
        <f>HYPERLINK("https://cloud.mail.ru/public/sM7J/swxiY817K","Ссылка")</f>
        <v>Ссылка</v>
      </c>
      <c r="E197" s="365" t="str">
        <f>HYPERLINK("https://adv-map.ru/place/?LINK=2d2cf20d02f33b48672dc7bbfa2cedff","Ссылка")</f>
        <v>Ссылка</v>
      </c>
      <c r="F197" s="9" t="s">
        <v>290</v>
      </c>
      <c r="G197" s="10" t="s">
        <v>16</v>
      </c>
      <c r="H197" s="11">
        <v>27000</v>
      </c>
      <c r="I197" s="12"/>
    </row>
    <row r="198" spans="1:9" s="8" customFormat="1" ht="18" customHeight="1" outlineLevel="1" x14ac:dyDescent="0.2">
      <c r="A198" s="9" t="s">
        <v>293</v>
      </c>
      <c r="B198" s="9" t="s">
        <v>13</v>
      </c>
      <c r="C198" s="9" t="s">
        <v>294</v>
      </c>
      <c r="D198" s="366" t="str">
        <f>HYPERLINK("https://cloud.mail.ru/public/LbM8/KdaWmpBnm","Ссылка")</f>
        <v>Ссылка</v>
      </c>
      <c r="E198" s="367" t="str">
        <f>HYPERLINK("https://adv-map.ru/place/?LINK=416cedeb7a9e215685ce55ae8ad3473c","Ссылка")</f>
        <v>Ссылка</v>
      </c>
      <c r="F198" s="9" t="s">
        <v>295</v>
      </c>
      <c r="G198" s="10" t="s">
        <v>16</v>
      </c>
      <c r="H198" s="11">
        <v>31000</v>
      </c>
      <c r="I198" s="13" t="s">
        <v>26</v>
      </c>
    </row>
    <row r="199" spans="1:9" s="8" customFormat="1" ht="18" customHeight="1" outlineLevel="1" x14ac:dyDescent="0.2">
      <c r="A199" s="9" t="s">
        <v>293</v>
      </c>
      <c r="B199" s="9" t="s">
        <v>17</v>
      </c>
      <c r="C199" s="9" t="s">
        <v>294</v>
      </c>
      <c r="D199" s="368" t="str">
        <f>HYPERLINK("https://cloud.mail.ru/public/5QFB/wL3j9FCS7","Ссылка")</f>
        <v>Ссылка</v>
      </c>
      <c r="E199" s="369" t="str">
        <f>HYPERLINK("https://adv-map.ru/place/?LINK=ec8f45d20f9ebffececfc831b3daacd1","Ссылка")</f>
        <v>Ссылка</v>
      </c>
      <c r="F199" s="9" t="s">
        <v>295</v>
      </c>
      <c r="G199" s="10" t="s">
        <v>16</v>
      </c>
      <c r="H199" s="11">
        <v>31000</v>
      </c>
      <c r="I199" s="12"/>
    </row>
    <row r="200" spans="1:9" s="8" customFormat="1" ht="18" customHeight="1" outlineLevel="1" x14ac:dyDescent="0.2">
      <c r="A200" s="9" t="s">
        <v>296</v>
      </c>
      <c r="B200" s="9" t="s">
        <v>13</v>
      </c>
      <c r="C200" s="9" t="s">
        <v>297</v>
      </c>
      <c r="D200" s="370" t="str">
        <f>HYPERLINK("https://cloud.mail.ru/public/w5k3/rqGt3mmua","Ссылка")</f>
        <v>Ссылка</v>
      </c>
      <c r="E200" s="371" t="str">
        <f>HYPERLINK("https://adv-map.ru/place/?LINK=fda77401bd1fcaa92efe95969a2aff12","Ссылка")</f>
        <v>Ссылка</v>
      </c>
      <c r="F200" s="9" t="s">
        <v>298</v>
      </c>
      <c r="G200" s="10" t="s">
        <v>16</v>
      </c>
      <c r="H200" s="11">
        <v>33000</v>
      </c>
      <c r="I200" s="12"/>
    </row>
    <row r="201" spans="1:9" s="8" customFormat="1" ht="18" customHeight="1" outlineLevel="1" x14ac:dyDescent="0.2">
      <c r="A201" s="9" t="s">
        <v>296</v>
      </c>
      <c r="B201" s="9" t="s">
        <v>17</v>
      </c>
      <c r="C201" s="9" t="s">
        <v>297</v>
      </c>
      <c r="D201" s="372" t="str">
        <f>HYPERLINK("https://cloud.mail.ru/public/oCF1/vP8XbEA2h","Ссылка")</f>
        <v>Ссылка</v>
      </c>
      <c r="E201" s="373" t="str">
        <f>HYPERLINK("https://adv-map.ru/place/?LINK=372e83073ed819478556b252d87fbbe9","Ссылка")</f>
        <v>Ссылка</v>
      </c>
      <c r="F201" s="9" t="s">
        <v>298</v>
      </c>
      <c r="G201" s="10" t="s">
        <v>16</v>
      </c>
      <c r="H201" s="11">
        <v>27000</v>
      </c>
      <c r="I201" s="12"/>
    </row>
    <row r="202" spans="1:9" s="8" customFormat="1" ht="18" customHeight="1" outlineLevel="1" x14ac:dyDescent="0.2">
      <c r="A202" s="9" t="s">
        <v>299</v>
      </c>
      <c r="B202" s="9" t="s">
        <v>13</v>
      </c>
      <c r="C202" s="9" t="s">
        <v>300</v>
      </c>
      <c r="D202" s="374" t="str">
        <f>HYPERLINK("https://cloud.mail.ru/public/f2Gf/ymKt4fCZn","Ссылка")</f>
        <v>Ссылка</v>
      </c>
      <c r="E202" s="375" t="str">
        <f>HYPERLINK("https://adv-map.ru/place/?LINK=1490c0efef2ce9338cd3ddd0fa59b9b3","Ссылка")</f>
        <v>Ссылка</v>
      </c>
      <c r="F202" s="9" t="s">
        <v>301</v>
      </c>
      <c r="G202" s="10" t="s">
        <v>16</v>
      </c>
      <c r="H202" s="11">
        <v>33000</v>
      </c>
      <c r="I202" s="13" t="s">
        <v>26</v>
      </c>
    </row>
    <row r="203" spans="1:9" s="8" customFormat="1" ht="18" customHeight="1" outlineLevel="1" x14ac:dyDescent="0.2">
      <c r="A203" s="9" t="s">
        <v>299</v>
      </c>
      <c r="B203" s="9" t="s">
        <v>17</v>
      </c>
      <c r="C203" s="9" t="s">
        <v>300</v>
      </c>
      <c r="D203" s="376" t="str">
        <f>HYPERLINK("https://cloud.mail.ru/public/sXAG/QvgZmndxt","Ссылка")</f>
        <v>Ссылка</v>
      </c>
      <c r="E203" s="377" t="str">
        <f>HYPERLINK("https://adv-map.ru/place/?LINK=79fc4728aaebc2e78c04a4238f6564c6","Ссылка")</f>
        <v>Ссылка</v>
      </c>
      <c r="F203" s="9" t="s">
        <v>301</v>
      </c>
      <c r="G203" s="10" t="s">
        <v>16</v>
      </c>
      <c r="H203" s="11">
        <v>25000</v>
      </c>
      <c r="I203" s="12"/>
    </row>
    <row r="204" spans="1:9" s="8" customFormat="1" ht="18" customHeight="1" outlineLevel="1" x14ac:dyDescent="0.2">
      <c r="A204" s="9" t="s">
        <v>302</v>
      </c>
      <c r="B204" s="9" t="s">
        <v>13</v>
      </c>
      <c r="C204" s="9" t="s">
        <v>303</v>
      </c>
      <c r="D204" s="378" t="str">
        <f>HYPERLINK("https://cloud.mail.ru/public/Mo2L/1jLu239dC","Ссылка")</f>
        <v>Ссылка</v>
      </c>
      <c r="E204" s="379" t="str">
        <f>HYPERLINK("https://adv-map.ru/place/?LINK=da04052e472aebcd8ed39ffa87b27324","Ссылка")</f>
        <v>Ссылка</v>
      </c>
      <c r="F204" s="9" t="s">
        <v>304</v>
      </c>
      <c r="G204" s="10" t="s">
        <v>16</v>
      </c>
      <c r="H204" s="11">
        <v>31000</v>
      </c>
      <c r="I204" s="13" t="s">
        <v>86</v>
      </c>
    </row>
    <row r="205" spans="1:9" s="8" customFormat="1" ht="18" customHeight="1" outlineLevel="1" x14ac:dyDescent="0.2">
      <c r="A205" s="9" t="s">
        <v>302</v>
      </c>
      <c r="B205" s="9" t="s">
        <v>17</v>
      </c>
      <c r="C205" s="9" t="s">
        <v>303</v>
      </c>
      <c r="D205" s="380" t="str">
        <f>HYPERLINK("https://cloud.mail.ru/public/fAfR/v1EtXcvBp","Ссылка")</f>
        <v>Ссылка</v>
      </c>
      <c r="E205" s="381" t="str">
        <f>HYPERLINK("https://adv-map.ru/place/?LINK=d081c9638b80849d09a4542ebf846529","Ссылка")</f>
        <v>Ссылка</v>
      </c>
      <c r="F205" s="9" t="s">
        <v>304</v>
      </c>
      <c r="G205" s="10" t="s">
        <v>16</v>
      </c>
      <c r="H205" s="11">
        <v>25000</v>
      </c>
      <c r="I205" s="12"/>
    </row>
    <row r="206" spans="1:9" s="8" customFormat="1" ht="18" customHeight="1" outlineLevel="1" x14ac:dyDescent="0.2">
      <c r="A206" s="9" t="s">
        <v>305</v>
      </c>
      <c r="B206" s="9" t="s">
        <v>13</v>
      </c>
      <c r="C206" s="9" t="s">
        <v>306</v>
      </c>
      <c r="D206" s="382" t="str">
        <f>HYPERLINK("https://cloud.mail.ru/public/bu49/Dtea8SCw7","Ссылка")</f>
        <v>Ссылка</v>
      </c>
      <c r="E206" s="383" t="str">
        <f>HYPERLINK("https://adv-map.ru/place/?LINK=1192142912167d13043757af8e9e9bbf","Ссылка")</f>
        <v>Ссылка</v>
      </c>
      <c r="F206" s="9" t="s">
        <v>307</v>
      </c>
      <c r="G206" s="10" t="s">
        <v>16</v>
      </c>
      <c r="H206" s="11">
        <v>31000</v>
      </c>
      <c r="I206" s="13" t="s">
        <v>26</v>
      </c>
    </row>
    <row r="207" spans="1:9" s="8" customFormat="1" ht="18" customHeight="1" outlineLevel="1" x14ac:dyDescent="0.2">
      <c r="A207" s="9" t="s">
        <v>305</v>
      </c>
      <c r="B207" s="9" t="s">
        <v>17</v>
      </c>
      <c r="C207" s="9" t="s">
        <v>306</v>
      </c>
      <c r="D207" s="384" t="str">
        <f>HYPERLINK("https://cloud.mail.ru/public/2NDr/MzBEje8aT","Ссылка")</f>
        <v>Ссылка</v>
      </c>
      <c r="E207" s="385" t="str">
        <f>HYPERLINK("https://adv-map.ru/place/?LINK=19a088da205546eb7065a7b87e2f6c72","Ссылка")</f>
        <v>Ссылка</v>
      </c>
      <c r="F207" s="9" t="s">
        <v>307</v>
      </c>
      <c r="G207" s="10" t="s">
        <v>16</v>
      </c>
      <c r="H207" s="11">
        <v>29000</v>
      </c>
      <c r="I207" s="12"/>
    </row>
    <row r="208" spans="1:9" s="8" customFormat="1" ht="18" customHeight="1" outlineLevel="1" x14ac:dyDescent="0.2">
      <c r="A208" s="9" t="s">
        <v>308</v>
      </c>
      <c r="B208" s="9" t="s">
        <v>13</v>
      </c>
      <c r="C208" s="9" t="s">
        <v>208</v>
      </c>
      <c r="D208" s="386" t="str">
        <f>HYPERLINK("https://cloud.mail.ru/public/6BDx/aptxHBWc1","Ссылка")</f>
        <v>Ссылка</v>
      </c>
      <c r="E208" s="387" t="str">
        <f>HYPERLINK("https://adv-map.ru/place/?LINK=4fa364907425359560975c7d2ae4a24c","Ссылка")</f>
        <v>Ссылка</v>
      </c>
      <c r="F208" s="9" t="s">
        <v>309</v>
      </c>
      <c r="G208" s="10" t="s">
        <v>16</v>
      </c>
      <c r="H208" s="11">
        <v>31000</v>
      </c>
      <c r="I208" s="13" t="s">
        <v>26</v>
      </c>
    </row>
    <row r="209" spans="1:9" s="8" customFormat="1" ht="18" customHeight="1" outlineLevel="1" x14ac:dyDescent="0.2">
      <c r="A209" s="9" t="s">
        <v>308</v>
      </c>
      <c r="B209" s="9" t="s">
        <v>17</v>
      </c>
      <c r="C209" s="9" t="s">
        <v>208</v>
      </c>
      <c r="D209" s="388" t="str">
        <f>HYPERLINK("https://cloud.mail.ru/public/8D2w/7GmU8b5Nf","Ссылка")</f>
        <v>Ссылка</v>
      </c>
      <c r="E209" s="389" t="str">
        <f>HYPERLINK("https://adv-map.ru/place/?LINK=7e8840eb7ad9e5b1cbb87c8f16d8a1f7","Ссылка")</f>
        <v>Ссылка</v>
      </c>
      <c r="F209" s="9" t="s">
        <v>309</v>
      </c>
      <c r="G209" s="10" t="s">
        <v>16</v>
      </c>
      <c r="H209" s="11">
        <v>27000</v>
      </c>
      <c r="I209" s="12"/>
    </row>
    <row r="210" spans="1:9" s="8" customFormat="1" ht="18" customHeight="1" outlineLevel="1" x14ac:dyDescent="0.2">
      <c r="A210" s="9" t="s">
        <v>310</v>
      </c>
      <c r="B210" s="9" t="s">
        <v>13</v>
      </c>
      <c r="C210" s="9" t="s">
        <v>311</v>
      </c>
      <c r="D210" s="390" t="str">
        <f>HYPERLINK("https://cloud.mail.ru/public/Se2K/JHc1CdSJB","Ссылка")</f>
        <v>Ссылка</v>
      </c>
      <c r="E210" s="391" t="str">
        <f>HYPERLINK("https://adv-map.ru/place/?LINK=342237de42ee9f2befcd03a8e9e1c482","Ссылка")</f>
        <v>Ссылка</v>
      </c>
      <c r="F210" s="9" t="s">
        <v>312</v>
      </c>
      <c r="G210" s="10" t="s">
        <v>16</v>
      </c>
      <c r="H210" s="11">
        <v>31000</v>
      </c>
      <c r="I210" s="13" t="s">
        <v>26</v>
      </c>
    </row>
    <row r="211" spans="1:9" s="8" customFormat="1" ht="18" customHeight="1" outlineLevel="1" x14ac:dyDescent="0.2">
      <c r="A211" s="9" t="s">
        <v>310</v>
      </c>
      <c r="B211" s="9" t="s">
        <v>17</v>
      </c>
      <c r="C211" s="9" t="s">
        <v>311</v>
      </c>
      <c r="D211" s="392" t="str">
        <f>HYPERLINK("https://cloud.mail.ru/public/hwBP/gP8AJMgfF","Ссылка")</f>
        <v>Ссылка</v>
      </c>
      <c r="E211" s="393" t="str">
        <f>HYPERLINK("https://adv-map.ru/place/?LINK=22699ad747cfe303aaa8adada107a501","Ссылка")</f>
        <v>Ссылка</v>
      </c>
      <c r="F211" s="9" t="s">
        <v>312</v>
      </c>
      <c r="G211" s="10" t="s">
        <v>16</v>
      </c>
      <c r="H211" s="11">
        <v>27000</v>
      </c>
      <c r="I211" s="12"/>
    </row>
    <row r="212" spans="1:9" s="8" customFormat="1" ht="18" customHeight="1" outlineLevel="1" x14ac:dyDescent="0.2">
      <c r="A212" s="9" t="s">
        <v>313</v>
      </c>
      <c r="B212" s="9" t="s">
        <v>13</v>
      </c>
      <c r="C212" s="9" t="s">
        <v>314</v>
      </c>
      <c r="D212" s="394" t="str">
        <f>HYPERLINK("https://cloud.mail.ru/public/Khi5/oX1peKMEz","Ссылка")</f>
        <v>Ссылка</v>
      </c>
      <c r="E212" s="395" t="str">
        <f>HYPERLINK("https://adv-map.ru/place/?LINK=914555f67526283e210b34eace40c211","Ссылка")</f>
        <v>Ссылка</v>
      </c>
      <c r="F212" s="9" t="s">
        <v>315</v>
      </c>
      <c r="G212" s="10" t="s">
        <v>16</v>
      </c>
      <c r="H212" s="11">
        <v>31000</v>
      </c>
      <c r="I212" s="13" t="s">
        <v>26</v>
      </c>
    </row>
    <row r="213" spans="1:9" s="8" customFormat="1" ht="18" customHeight="1" outlineLevel="1" x14ac:dyDescent="0.2">
      <c r="A213" s="9" t="s">
        <v>313</v>
      </c>
      <c r="B213" s="9" t="s">
        <v>17</v>
      </c>
      <c r="C213" s="9" t="s">
        <v>314</v>
      </c>
      <c r="D213" s="396" t="str">
        <f>HYPERLINK("https://cloud.mail.ru/public/wcVY/woUhMhuyd","Ссылка")</f>
        <v>Ссылка</v>
      </c>
      <c r="E213" s="397" t="str">
        <f>HYPERLINK("https://adv-map.ru/place/?LINK=59be463c02ed918718354eadabc3f578","Ссылка")</f>
        <v>Ссылка</v>
      </c>
      <c r="F213" s="9" t="s">
        <v>315</v>
      </c>
      <c r="G213" s="10" t="s">
        <v>16</v>
      </c>
      <c r="H213" s="11">
        <v>25000</v>
      </c>
      <c r="I213" s="12"/>
    </row>
    <row r="214" spans="1:9" s="8" customFormat="1" ht="18" customHeight="1" outlineLevel="1" x14ac:dyDescent="0.2">
      <c r="A214" s="9" t="s">
        <v>316</v>
      </c>
      <c r="B214" s="9" t="s">
        <v>13</v>
      </c>
      <c r="C214" s="9" t="s">
        <v>208</v>
      </c>
      <c r="D214" s="398" t="str">
        <f>HYPERLINK("https://cloud.mail.ru/public/zd9L/xY6aozG45","Ссылка")</f>
        <v>Ссылка</v>
      </c>
      <c r="E214" s="399" t="str">
        <f>HYPERLINK("https://adv-map.ru/place/?LINK=dc4bdeff30609457d61d60a4b146cfa9","Ссылка")</f>
        <v>Ссылка</v>
      </c>
      <c r="F214" s="9" t="s">
        <v>317</v>
      </c>
      <c r="G214" s="10" t="s">
        <v>16</v>
      </c>
      <c r="H214" s="11">
        <v>31000</v>
      </c>
      <c r="I214" s="13" t="s">
        <v>26</v>
      </c>
    </row>
    <row r="215" spans="1:9" s="8" customFormat="1" ht="18" customHeight="1" outlineLevel="1" x14ac:dyDescent="0.2">
      <c r="A215" s="9" t="s">
        <v>316</v>
      </c>
      <c r="B215" s="9" t="s">
        <v>17</v>
      </c>
      <c r="C215" s="9" t="s">
        <v>208</v>
      </c>
      <c r="D215" s="400" t="str">
        <f>HYPERLINK("https://cloud.mail.ru/public/V5Zg/gErAPYrBG","Ссылка")</f>
        <v>Ссылка</v>
      </c>
      <c r="E215" s="401" t="str">
        <f>HYPERLINK("https://adv-map.ru/place/?LINK=dc45c5ddacf82538df3a714671921e43","Ссылка")</f>
        <v>Ссылка</v>
      </c>
      <c r="F215" s="9" t="s">
        <v>317</v>
      </c>
      <c r="G215" s="10" t="s">
        <v>16</v>
      </c>
      <c r="H215" s="11">
        <v>23000</v>
      </c>
      <c r="I215" s="12"/>
    </row>
    <row r="216" spans="1:9" s="8" customFormat="1" ht="18" customHeight="1" outlineLevel="1" x14ac:dyDescent="0.2">
      <c r="A216" s="9" t="s">
        <v>318</v>
      </c>
      <c r="B216" s="9" t="s">
        <v>13</v>
      </c>
      <c r="C216" s="9" t="s">
        <v>319</v>
      </c>
      <c r="D216" s="402" t="str">
        <f>HYPERLINK("https://cloud.mail.ru/public/hmP5/FTPnPemiS","Ссылка")</f>
        <v>Ссылка</v>
      </c>
      <c r="E216" s="403" t="str">
        <f>HYPERLINK("https://adv-map.ru/place/?LINK=4fc65b984d4affd201c7c29e3463b2fc","Ссылка")</f>
        <v>Ссылка</v>
      </c>
      <c r="F216" s="9" t="s">
        <v>320</v>
      </c>
      <c r="G216" s="10" t="s">
        <v>16</v>
      </c>
      <c r="H216" s="11">
        <v>21000</v>
      </c>
      <c r="I216" s="12"/>
    </row>
    <row r="217" spans="1:9" s="8" customFormat="1" ht="18" customHeight="1" outlineLevel="1" x14ac:dyDescent="0.2">
      <c r="A217" s="9" t="s">
        <v>318</v>
      </c>
      <c r="B217" s="9" t="s">
        <v>17</v>
      </c>
      <c r="C217" s="9" t="s">
        <v>319</v>
      </c>
      <c r="D217" s="404" t="str">
        <f>HYPERLINK("https://cloud.mail.ru/public/V9XV/V8uEddnDv","Ссылка")</f>
        <v>Ссылка</v>
      </c>
      <c r="E217" s="405" t="str">
        <f>HYPERLINK("https://adv-map.ru/place/?LINK=1210cf11f2f65307290e8dd33c65d76c","Ссылка")</f>
        <v>Ссылка</v>
      </c>
      <c r="F217" s="9" t="s">
        <v>320</v>
      </c>
      <c r="G217" s="10" t="s">
        <v>16</v>
      </c>
      <c r="H217" s="11">
        <v>21000</v>
      </c>
      <c r="I217" s="13" t="s">
        <v>26</v>
      </c>
    </row>
    <row r="218" spans="1:9" s="8" customFormat="1" ht="18" customHeight="1" outlineLevel="1" x14ac:dyDescent="0.2">
      <c r="A218" s="9" t="s">
        <v>321</v>
      </c>
      <c r="B218" s="9" t="s">
        <v>13</v>
      </c>
      <c r="C218" s="9" t="s">
        <v>322</v>
      </c>
      <c r="D218" s="406" t="str">
        <f>HYPERLINK("https://cloud.mail.ru/public/ADzj/P9TvH2nEQ","Ссылка")</f>
        <v>Ссылка</v>
      </c>
      <c r="E218" s="407" t="str">
        <f>HYPERLINK("https://adv-map.ru/place/?LINK=357833e928b24ae7ecafab9e1cf53f6a","Ссылка")</f>
        <v>Ссылка</v>
      </c>
      <c r="F218" s="9" t="s">
        <v>323</v>
      </c>
      <c r="G218" s="10" t="s">
        <v>16</v>
      </c>
      <c r="H218" s="11">
        <v>31000</v>
      </c>
      <c r="I218" s="12"/>
    </row>
    <row r="219" spans="1:9" s="8" customFormat="1" ht="18" customHeight="1" outlineLevel="1" x14ac:dyDescent="0.2">
      <c r="A219" s="9" t="s">
        <v>321</v>
      </c>
      <c r="B219" s="9" t="s">
        <v>17</v>
      </c>
      <c r="C219" s="9" t="s">
        <v>322</v>
      </c>
      <c r="D219" s="408" t="str">
        <f>HYPERLINK("https://cloud.mail.ru/public/dP7F/zf3WndGbL","Ссылка")</f>
        <v>Ссылка</v>
      </c>
      <c r="E219" s="409" t="str">
        <f>HYPERLINK("https://adv-map.ru/place/?LINK=31918a638db1b6d1b4160d07a6111950","Ссылка")</f>
        <v>Ссылка</v>
      </c>
      <c r="F219" s="9" t="s">
        <v>323</v>
      </c>
      <c r="G219" s="10" t="s">
        <v>16</v>
      </c>
      <c r="H219" s="11">
        <v>27000</v>
      </c>
      <c r="I219" s="13" t="s">
        <v>47</v>
      </c>
    </row>
    <row r="220" spans="1:9" s="8" customFormat="1" ht="18" customHeight="1" outlineLevel="1" x14ac:dyDescent="0.2">
      <c r="A220" s="9" t="s">
        <v>324</v>
      </c>
      <c r="B220" s="9" t="s">
        <v>13</v>
      </c>
      <c r="C220" s="9" t="s">
        <v>325</v>
      </c>
      <c r="D220" s="410" t="str">
        <f>HYPERLINK("https://cloud.mail.ru/public/WGhb/PPTz6Qkss","Ссылка")</f>
        <v>Ссылка</v>
      </c>
      <c r="E220" s="411" t="str">
        <f>HYPERLINK("https://adv-map.ru/place/?LINK=8e4f46d03f31e25f0bda573bae409bb3","Ссылка")</f>
        <v>Ссылка</v>
      </c>
      <c r="F220" s="9" t="s">
        <v>326</v>
      </c>
      <c r="G220" s="10" t="s">
        <v>16</v>
      </c>
      <c r="H220" s="11">
        <v>35000</v>
      </c>
      <c r="I220" s="13" t="s">
        <v>26</v>
      </c>
    </row>
    <row r="221" spans="1:9" s="8" customFormat="1" ht="18" customHeight="1" outlineLevel="1" x14ac:dyDescent="0.2">
      <c r="A221" s="9" t="s">
        <v>324</v>
      </c>
      <c r="B221" s="9" t="s">
        <v>17</v>
      </c>
      <c r="C221" s="9" t="s">
        <v>325</v>
      </c>
      <c r="D221" s="412" t="str">
        <f>HYPERLINK("https://cloud.mail.ru/public/3fUC/p7A96saCH","Ссылка")</f>
        <v>Ссылка</v>
      </c>
      <c r="E221" s="413" t="str">
        <f>HYPERLINK("https://adv-map.ru/place/?LINK=f2dc5770cfb06b4880ece7222ce0a6c9","Ссылка")</f>
        <v>Ссылка</v>
      </c>
      <c r="F221" s="9" t="s">
        <v>326</v>
      </c>
      <c r="G221" s="10" t="s">
        <v>16</v>
      </c>
      <c r="H221" s="11">
        <v>29000</v>
      </c>
      <c r="I221" s="13" t="s">
        <v>26</v>
      </c>
    </row>
    <row r="222" spans="1:9" s="8" customFormat="1" ht="18" customHeight="1" outlineLevel="1" x14ac:dyDescent="0.2">
      <c r="A222" s="9" t="s">
        <v>327</v>
      </c>
      <c r="B222" s="9" t="s">
        <v>13</v>
      </c>
      <c r="C222" s="9" t="s">
        <v>328</v>
      </c>
      <c r="D222" s="414" t="str">
        <f>HYPERLINK("https://cloud.mail.ru/public/tfAx/hVpMJq7nu","Ссылка")</f>
        <v>Ссылка</v>
      </c>
      <c r="E222" s="415" t="str">
        <f>HYPERLINK("https://adv-map.ru/place/?LINK=70a49da74dc2640ba88daa3b06f6c130","Ссылка")</f>
        <v>Ссылка</v>
      </c>
      <c r="F222" s="9" t="s">
        <v>329</v>
      </c>
      <c r="G222" s="10" t="s">
        <v>16</v>
      </c>
      <c r="H222" s="11">
        <v>33000</v>
      </c>
      <c r="I222" s="13" t="s">
        <v>26</v>
      </c>
    </row>
    <row r="223" spans="1:9" s="8" customFormat="1" ht="18" customHeight="1" outlineLevel="1" x14ac:dyDescent="0.2">
      <c r="A223" s="9" t="s">
        <v>327</v>
      </c>
      <c r="B223" s="9" t="s">
        <v>17</v>
      </c>
      <c r="C223" s="9" t="s">
        <v>328</v>
      </c>
      <c r="D223" s="416" t="str">
        <f>HYPERLINK("https://cloud.mail.ru/public/tJrA/8jf85kKrn","Ссылка")</f>
        <v>Ссылка</v>
      </c>
      <c r="E223" s="417" t="str">
        <f>HYPERLINK("https://adv-map.ru/place/?LINK=2026ba77b063460709a958ce2909f251","Ссылка")</f>
        <v>Ссылка</v>
      </c>
      <c r="F223" s="9" t="s">
        <v>329</v>
      </c>
      <c r="G223" s="10" t="s">
        <v>16</v>
      </c>
      <c r="H223" s="11">
        <v>27000</v>
      </c>
      <c r="I223" s="12"/>
    </row>
    <row r="224" spans="1:9" s="8" customFormat="1" ht="18" customHeight="1" outlineLevel="1" x14ac:dyDescent="0.2">
      <c r="A224" s="9" t="s">
        <v>330</v>
      </c>
      <c r="B224" s="9" t="s">
        <v>13</v>
      </c>
      <c r="C224" s="9" t="s">
        <v>331</v>
      </c>
      <c r="D224" s="418" t="str">
        <f>HYPERLINK("https://cloud.mail.ru/public/PTd8/HpYNT6csW","Ссылка")</f>
        <v>Ссылка</v>
      </c>
      <c r="E224" s="419" t="str">
        <f>HYPERLINK("https://adv-map.ru/place/?LINK=62cc525a1bad8fda419e6a9c1d11e2cb","Ссылка")</f>
        <v>Ссылка</v>
      </c>
      <c r="F224" s="9" t="s">
        <v>332</v>
      </c>
      <c r="G224" s="10" t="s">
        <v>16</v>
      </c>
      <c r="H224" s="11">
        <v>29000</v>
      </c>
      <c r="I224" s="12"/>
    </row>
    <row r="225" spans="1:9" s="8" customFormat="1" ht="18" customHeight="1" outlineLevel="1" x14ac:dyDescent="0.2">
      <c r="A225" s="9" t="s">
        <v>330</v>
      </c>
      <c r="B225" s="9" t="s">
        <v>17</v>
      </c>
      <c r="C225" s="9" t="s">
        <v>331</v>
      </c>
      <c r="D225" s="420" t="str">
        <f>HYPERLINK("https://cloud.mail.ru/public/NtUN/AVtWVjCC8","Ссылка")</f>
        <v>Ссылка</v>
      </c>
      <c r="E225" s="421" t="str">
        <f>HYPERLINK("https://adv-map.ru/place/?LINK=fb1b55777f6dba4ee28d1776f50263a0","Ссылка")</f>
        <v>Ссылка</v>
      </c>
      <c r="F225" s="9" t="s">
        <v>332</v>
      </c>
      <c r="G225" s="10" t="s">
        <v>16</v>
      </c>
      <c r="H225" s="11">
        <v>25000</v>
      </c>
      <c r="I225" s="12"/>
    </row>
    <row r="226" spans="1:9" s="8" customFormat="1" ht="18" customHeight="1" outlineLevel="1" x14ac:dyDescent="0.2">
      <c r="A226" s="9" t="s">
        <v>333</v>
      </c>
      <c r="B226" s="9" t="s">
        <v>13</v>
      </c>
      <c r="C226" s="9" t="s">
        <v>334</v>
      </c>
      <c r="D226" s="422" t="str">
        <f>HYPERLINK("https://cloud.mail.ru/public/q9Ev/p4oz8km4C","Ссылка")</f>
        <v>Ссылка</v>
      </c>
      <c r="E226" s="423" t="str">
        <f>HYPERLINK("https://adv-map.ru/place/?LINK=e663883cc7ee6d46fbcdb45579f1ea26","Ссылка")</f>
        <v>Ссылка</v>
      </c>
      <c r="F226" s="9" t="s">
        <v>335</v>
      </c>
      <c r="G226" s="10" t="s">
        <v>16</v>
      </c>
      <c r="H226" s="11">
        <v>22000</v>
      </c>
      <c r="I226" s="12"/>
    </row>
    <row r="227" spans="1:9" s="8" customFormat="1" ht="18" customHeight="1" outlineLevel="1" x14ac:dyDescent="0.2">
      <c r="A227" s="9" t="s">
        <v>333</v>
      </c>
      <c r="B227" s="9" t="s">
        <v>17</v>
      </c>
      <c r="C227" s="9" t="s">
        <v>334</v>
      </c>
      <c r="D227" s="424" t="str">
        <f>HYPERLINK("https://cloud.mail.ru/public/G9vM/kojyiSVdQ","Ссылка")</f>
        <v>Ссылка</v>
      </c>
      <c r="E227" s="425" t="str">
        <f>HYPERLINK("https://adv-map.ru/place/?LINK=26e9404eaab964adcfd64557554a9c10","Ссылка")</f>
        <v>Ссылка</v>
      </c>
      <c r="F227" s="9" t="s">
        <v>335</v>
      </c>
      <c r="G227" s="10" t="s">
        <v>16</v>
      </c>
      <c r="H227" s="11">
        <v>22000</v>
      </c>
      <c r="I227" s="12"/>
    </row>
    <row r="228" spans="1:9" s="8" customFormat="1" ht="18" customHeight="1" outlineLevel="1" x14ac:dyDescent="0.2">
      <c r="A228" s="9" t="s">
        <v>336</v>
      </c>
      <c r="B228" s="9" t="s">
        <v>13</v>
      </c>
      <c r="C228" s="9" t="s">
        <v>337</v>
      </c>
      <c r="D228" s="426" t="str">
        <f>HYPERLINK("https://cloud.mail.ru/public/8P6R/bDphDFe35","Ссылка")</f>
        <v>Ссылка</v>
      </c>
      <c r="E228" s="427" t="str">
        <f>HYPERLINK("https://adv-map.ru/place/?LINK=48198ff767432f870d647b046c842d09","Ссылка")</f>
        <v>Ссылка</v>
      </c>
      <c r="F228" s="9" t="s">
        <v>338</v>
      </c>
      <c r="G228" s="10" t="s">
        <v>16</v>
      </c>
      <c r="H228" s="11">
        <v>31000</v>
      </c>
      <c r="I228" s="13" t="s">
        <v>26</v>
      </c>
    </row>
    <row r="229" spans="1:9" s="8" customFormat="1" ht="18" customHeight="1" outlineLevel="1" x14ac:dyDescent="0.2">
      <c r="A229" s="9" t="s">
        <v>336</v>
      </c>
      <c r="B229" s="9" t="s">
        <v>17</v>
      </c>
      <c r="C229" s="9" t="s">
        <v>337</v>
      </c>
      <c r="D229" s="428" t="str">
        <f>HYPERLINK("https://cloud.mail.ru/public/55sx/ZrdJ3akEU","Ссылка")</f>
        <v>Ссылка</v>
      </c>
      <c r="E229" s="429" t="str">
        <f>HYPERLINK("https://adv-map.ru/place/?LINK=9913f5d3dbedd2bca88f61b9bb9952ff","Ссылка")</f>
        <v>Ссылка</v>
      </c>
      <c r="F229" s="9" t="s">
        <v>338</v>
      </c>
      <c r="G229" s="10" t="s">
        <v>16</v>
      </c>
      <c r="H229" s="11">
        <v>23000</v>
      </c>
      <c r="I229" s="12"/>
    </row>
    <row r="230" spans="1:9" s="8" customFormat="1" ht="18" customHeight="1" outlineLevel="1" x14ac:dyDescent="0.2">
      <c r="A230" s="9" t="s">
        <v>339</v>
      </c>
      <c r="B230" s="9" t="s">
        <v>17</v>
      </c>
      <c r="C230" s="9" t="s">
        <v>340</v>
      </c>
      <c r="D230" s="430" t="str">
        <f>HYPERLINK("https://cloud.mail.ru/public/41aC/aBcuwbt8L","Ссылка")</f>
        <v>Ссылка</v>
      </c>
      <c r="E230" s="431" t="str">
        <f>HYPERLINK("https://adv-map.ru/place/?LINK=d973ebc82e1c46c55a46580f0f38db0e","Ссылка")</f>
        <v>Ссылка</v>
      </c>
      <c r="F230" s="9" t="s">
        <v>341</v>
      </c>
      <c r="G230" s="10" t="s">
        <v>16</v>
      </c>
      <c r="H230" s="11">
        <v>27000</v>
      </c>
      <c r="I230" s="13" t="s">
        <v>26</v>
      </c>
    </row>
    <row r="231" spans="1:9" s="8" customFormat="1" ht="18" customHeight="1" outlineLevel="1" x14ac:dyDescent="0.2">
      <c r="A231" s="9" t="s">
        <v>342</v>
      </c>
      <c r="B231" s="9" t="s">
        <v>13</v>
      </c>
      <c r="C231" s="9" t="s">
        <v>343</v>
      </c>
      <c r="D231" s="432" t="str">
        <f>HYPERLINK("https://cloud.mail.ru/public/g4FJ/J9dW3H2z3","Ссылка")</f>
        <v>Ссылка</v>
      </c>
      <c r="E231" s="433" t="str">
        <f>HYPERLINK("https://adv-map.ru/place/?LINK=2bdfbc8c54c2afb0918c09baa0a877d8","Ссылка")</f>
        <v>Ссылка</v>
      </c>
      <c r="F231" s="9" t="s">
        <v>344</v>
      </c>
      <c r="G231" s="10" t="s">
        <v>16</v>
      </c>
      <c r="H231" s="11">
        <v>27000</v>
      </c>
      <c r="I231" s="13" t="s">
        <v>26</v>
      </c>
    </row>
    <row r="232" spans="1:9" s="8" customFormat="1" ht="18" customHeight="1" outlineLevel="1" x14ac:dyDescent="0.2">
      <c r="A232" s="9" t="s">
        <v>342</v>
      </c>
      <c r="B232" s="9" t="s">
        <v>17</v>
      </c>
      <c r="C232" s="9" t="s">
        <v>343</v>
      </c>
      <c r="D232" s="434" t="str">
        <f>HYPERLINK("https://cloud.mail.ru/public/Yg8Y/khtjYarao","Ссылка")</f>
        <v>Ссылка</v>
      </c>
      <c r="E232" s="435" t="str">
        <f>HYPERLINK("https://adv-map.ru/place/?LINK=f57ead1cb1029b29d6d8b04e2701465b","Ссылка")</f>
        <v>Ссылка</v>
      </c>
      <c r="F232" s="9" t="s">
        <v>344</v>
      </c>
      <c r="G232" s="10" t="s">
        <v>16</v>
      </c>
      <c r="H232" s="11">
        <v>23000</v>
      </c>
      <c r="I232" s="12"/>
    </row>
    <row r="233" spans="1:9" s="8" customFormat="1" ht="18" customHeight="1" outlineLevel="1" x14ac:dyDescent="0.2">
      <c r="A233" s="9" t="s">
        <v>345</v>
      </c>
      <c r="B233" s="9" t="s">
        <v>17</v>
      </c>
      <c r="C233" s="9" t="s">
        <v>346</v>
      </c>
      <c r="D233" s="436" t="str">
        <f>HYPERLINK("https://cloud.mail.ru/public/N13V/uaxh9J5Q1","Ссылка")</f>
        <v>Ссылка</v>
      </c>
      <c r="E233" s="437" t="str">
        <f>HYPERLINK("https://adv-map.ru/place/?LINK=2f58322f4fe1498a6e4102287183e3f5","Ссылка")</f>
        <v>Ссылка</v>
      </c>
      <c r="F233" s="9" t="s">
        <v>347</v>
      </c>
      <c r="G233" s="10" t="s">
        <v>16</v>
      </c>
      <c r="H233" s="11">
        <v>31000</v>
      </c>
      <c r="I233" s="13" t="s">
        <v>26</v>
      </c>
    </row>
    <row r="234" spans="1:9" s="8" customFormat="1" ht="18" customHeight="1" outlineLevel="1" x14ac:dyDescent="0.2">
      <c r="A234" s="9" t="s">
        <v>348</v>
      </c>
      <c r="B234" s="9" t="s">
        <v>22</v>
      </c>
      <c r="C234" s="9" t="s">
        <v>349</v>
      </c>
      <c r="D234" s="438" t="str">
        <f>HYPERLINK("https://cloud.mail.ru/public/YhNN/7GXKTGKmH","Ссылка")</f>
        <v>Ссылка</v>
      </c>
      <c r="E234" s="439" t="str">
        <f>HYPERLINK("https://adv-map.ru/place/?LINK=03fd1f8d2ce3de1b49c6e36fb22267f9","Ссылка")</f>
        <v>Ссылка</v>
      </c>
      <c r="F234" s="9" t="s">
        <v>350</v>
      </c>
      <c r="G234" s="10" t="s">
        <v>51</v>
      </c>
      <c r="H234" s="11">
        <v>27500</v>
      </c>
      <c r="I234" s="13" t="s">
        <v>351</v>
      </c>
    </row>
    <row r="235" spans="1:9" s="8" customFormat="1" ht="18" customHeight="1" outlineLevel="1" x14ac:dyDescent="0.2">
      <c r="A235" s="9" t="s">
        <v>348</v>
      </c>
      <c r="B235" s="9" t="s">
        <v>27</v>
      </c>
      <c r="C235" s="9" t="s">
        <v>349</v>
      </c>
      <c r="D235" s="438" t="str">
        <f>HYPERLINK("https://cloud.mail.ru/public/YhNN/7GXKTGKmH","Ссылка")</f>
        <v>Ссылка</v>
      </c>
      <c r="E235" s="440" t="str">
        <f>HYPERLINK("https://adv-map.ru/place/?LINK=422e7f02301e94804dab146bd88fda3e","Ссылка")</f>
        <v>Ссылка</v>
      </c>
      <c r="F235" s="9" t="s">
        <v>350</v>
      </c>
      <c r="G235" s="10" t="s">
        <v>51</v>
      </c>
      <c r="H235" s="11">
        <v>27500</v>
      </c>
      <c r="I235" s="12"/>
    </row>
    <row r="236" spans="1:9" s="8" customFormat="1" ht="18" customHeight="1" outlineLevel="1" x14ac:dyDescent="0.2">
      <c r="A236" s="9" t="s">
        <v>348</v>
      </c>
      <c r="B236" s="9" t="s">
        <v>28</v>
      </c>
      <c r="C236" s="9" t="s">
        <v>349</v>
      </c>
      <c r="D236" s="438" t="str">
        <f>HYPERLINK("https://cloud.mail.ru/public/YhNN/7GXKTGKmH","Ссылка")</f>
        <v>Ссылка</v>
      </c>
      <c r="E236" s="441" t="str">
        <f>HYPERLINK("https://adv-map.ru/place/?LINK=538591e6f918904f49d54385eaaed4ba","Ссылка")</f>
        <v>Ссылка</v>
      </c>
      <c r="F236" s="9" t="s">
        <v>350</v>
      </c>
      <c r="G236" s="10" t="s">
        <v>51</v>
      </c>
      <c r="H236" s="11">
        <v>27500</v>
      </c>
      <c r="I236" s="13" t="s">
        <v>47</v>
      </c>
    </row>
    <row r="237" spans="1:9" s="8" customFormat="1" ht="18" customHeight="1" outlineLevel="1" x14ac:dyDescent="0.2">
      <c r="A237" s="9" t="s">
        <v>348</v>
      </c>
      <c r="B237" s="9" t="s">
        <v>17</v>
      </c>
      <c r="C237" s="9" t="s">
        <v>349</v>
      </c>
      <c r="D237" s="442" t="str">
        <f>HYPERLINK("https://cloud.mail.ru/public/CkLw/zhLD96d6m","Ссылка")</f>
        <v>Ссылка</v>
      </c>
      <c r="E237" s="443" t="str">
        <f>HYPERLINK("https://adv-map.ru/place/?LINK=e4a02d32a2b7fa46ef7ac538abf00019","Ссылка")</f>
        <v>Ссылка</v>
      </c>
      <c r="F237" s="9" t="s">
        <v>350</v>
      </c>
      <c r="G237" s="10" t="s">
        <v>16</v>
      </c>
      <c r="H237" s="11">
        <v>27000</v>
      </c>
      <c r="I237" s="13" t="s">
        <v>26</v>
      </c>
    </row>
    <row r="238" spans="1:9" s="8" customFormat="1" ht="18" customHeight="1" outlineLevel="1" x14ac:dyDescent="0.2">
      <c r="A238" s="9" t="s">
        <v>352</v>
      </c>
      <c r="B238" s="9" t="s">
        <v>22</v>
      </c>
      <c r="C238" s="9" t="s">
        <v>349</v>
      </c>
      <c r="D238" s="444" t="str">
        <f>HYPERLINK("https://cloud.mail.ru/public/cALX/un6mvgbi4","Ссылка")</f>
        <v>Ссылка</v>
      </c>
      <c r="E238" s="445" t="str">
        <f>HYPERLINK("https://adv-map.ru/place/?LINK=f2420a8b8db3701d2935c42c75457757","Ссылка")</f>
        <v>Ссылка</v>
      </c>
      <c r="F238" s="9" t="s">
        <v>353</v>
      </c>
      <c r="G238" s="10" t="s">
        <v>51</v>
      </c>
      <c r="H238" s="11">
        <v>27500</v>
      </c>
      <c r="I238" s="13" t="s">
        <v>26</v>
      </c>
    </row>
    <row r="239" spans="1:9" s="8" customFormat="1" ht="18" customHeight="1" outlineLevel="1" x14ac:dyDescent="0.2">
      <c r="A239" s="9" t="s">
        <v>352</v>
      </c>
      <c r="B239" s="9" t="s">
        <v>27</v>
      </c>
      <c r="C239" s="9" t="s">
        <v>349</v>
      </c>
      <c r="D239" s="444" t="str">
        <f>HYPERLINK("https://cloud.mail.ru/public/cALX/un6mvgbi4","Ссылка")</f>
        <v>Ссылка</v>
      </c>
      <c r="E239" s="446" t="str">
        <f>HYPERLINK("https://adv-map.ru/place/?LINK=30942ae995b58d21267b4aaf1f92144a","Ссылка")</f>
        <v>Ссылка</v>
      </c>
      <c r="F239" s="9" t="s">
        <v>353</v>
      </c>
      <c r="G239" s="10" t="s">
        <v>51</v>
      </c>
      <c r="H239" s="11">
        <v>27500</v>
      </c>
      <c r="I239" s="12"/>
    </row>
    <row r="240" spans="1:9" s="8" customFormat="1" ht="18" customHeight="1" outlineLevel="1" x14ac:dyDescent="0.2">
      <c r="A240" s="9" t="s">
        <v>352</v>
      </c>
      <c r="B240" s="9" t="s">
        <v>28</v>
      </c>
      <c r="C240" s="9" t="s">
        <v>349</v>
      </c>
      <c r="D240" s="444" t="str">
        <f>HYPERLINK("https://cloud.mail.ru/public/cALX/un6mvgbi4","Ссылка")</f>
        <v>Ссылка</v>
      </c>
      <c r="E240" s="447" t="str">
        <f>HYPERLINK("https://adv-map.ru/place/?LINK=21d13e940478fdba37d6bf8ece830bf7","Ссылка")</f>
        <v>Ссылка</v>
      </c>
      <c r="F240" s="9" t="s">
        <v>353</v>
      </c>
      <c r="G240" s="10" t="s">
        <v>51</v>
      </c>
      <c r="H240" s="11">
        <v>27500</v>
      </c>
      <c r="I240" s="13" t="s">
        <v>26</v>
      </c>
    </row>
    <row r="241" spans="1:9" s="8" customFormat="1" ht="18" customHeight="1" outlineLevel="1" x14ac:dyDescent="0.2">
      <c r="A241" s="9" t="s">
        <v>352</v>
      </c>
      <c r="B241" s="9" t="s">
        <v>17</v>
      </c>
      <c r="C241" s="9" t="s">
        <v>349</v>
      </c>
      <c r="D241" s="448" t="str">
        <f>HYPERLINK("https://cloud.mail.ru/public/kgyy/JKruNj4ee","Ссылка")</f>
        <v>Ссылка</v>
      </c>
      <c r="E241" s="449" t="str">
        <f>HYPERLINK("https://adv-map.ru/place/?LINK=a7098787bf9edb34ad9ebcd8dcc054ff","Ссылка")</f>
        <v>Ссылка</v>
      </c>
      <c r="F241" s="9" t="s">
        <v>353</v>
      </c>
      <c r="G241" s="10" t="s">
        <v>16</v>
      </c>
      <c r="H241" s="11">
        <v>27000</v>
      </c>
      <c r="I241" s="12"/>
    </row>
    <row r="242" spans="1:9" s="8" customFormat="1" ht="18" customHeight="1" outlineLevel="1" x14ac:dyDescent="0.2">
      <c r="A242" s="9" t="s">
        <v>354</v>
      </c>
      <c r="B242" s="9" t="s">
        <v>13</v>
      </c>
      <c r="C242" s="9" t="s">
        <v>355</v>
      </c>
      <c r="D242" s="450" t="str">
        <f>HYPERLINK("https://cloud.mail.ru/public/bWMW/Lnwb53RHo","Ссылка")</f>
        <v>Ссылка</v>
      </c>
      <c r="E242" s="451" t="str">
        <f>HYPERLINK("https://adv-map.ru/place/?LINK=23c51dd2a6974f52b0341abcb046a2bb","Ссылка")</f>
        <v>Ссылка</v>
      </c>
      <c r="F242" s="9" t="s">
        <v>356</v>
      </c>
      <c r="G242" s="10" t="s">
        <v>16</v>
      </c>
      <c r="H242" s="11">
        <v>33000</v>
      </c>
      <c r="I242" s="13" t="s">
        <v>26</v>
      </c>
    </row>
    <row r="243" spans="1:9" s="8" customFormat="1" ht="18" customHeight="1" outlineLevel="1" x14ac:dyDescent="0.2">
      <c r="A243" s="9" t="s">
        <v>354</v>
      </c>
      <c r="B243" s="9" t="s">
        <v>17</v>
      </c>
      <c r="C243" s="9" t="s">
        <v>355</v>
      </c>
      <c r="D243" s="452" t="str">
        <f>HYPERLINK("https://cloud.mail.ru/public/D8Rv/MghhWgc4z","Ссылка")</f>
        <v>Ссылка</v>
      </c>
      <c r="E243" s="453" t="str">
        <f>HYPERLINK("https://adv-map.ru/place/?LINK=4cbb157fbeef24c3048ae2ce2e5fdd12","Ссылка")</f>
        <v>Ссылка</v>
      </c>
      <c r="F243" s="9" t="s">
        <v>356</v>
      </c>
      <c r="G243" s="10" t="s">
        <v>16</v>
      </c>
      <c r="H243" s="11">
        <v>27000</v>
      </c>
      <c r="I243" s="13" t="s">
        <v>26</v>
      </c>
    </row>
    <row r="244" spans="1:9" s="8" customFormat="1" ht="18" customHeight="1" outlineLevel="1" x14ac:dyDescent="0.2">
      <c r="A244" s="9" t="s">
        <v>357</v>
      </c>
      <c r="B244" s="9" t="s">
        <v>13</v>
      </c>
      <c r="C244" s="9" t="s">
        <v>358</v>
      </c>
      <c r="D244" s="454" t="str">
        <f>HYPERLINK("https://cloud.mail.ru/public/YuFV/3ndtEkzkK","Ссылка")</f>
        <v>Ссылка</v>
      </c>
      <c r="E244" s="455" t="str">
        <f>HYPERLINK("https://adv-map.ru/place/?LINK=07bbe86742f764d6cc48f58f656f2c19","Ссылка")</f>
        <v>Ссылка</v>
      </c>
      <c r="F244" s="9" t="s">
        <v>359</v>
      </c>
      <c r="G244" s="10" t="s">
        <v>16</v>
      </c>
      <c r="H244" s="11">
        <v>33000</v>
      </c>
      <c r="I244" s="13" t="s">
        <v>26</v>
      </c>
    </row>
    <row r="245" spans="1:9" s="8" customFormat="1" ht="18" customHeight="1" outlineLevel="1" x14ac:dyDescent="0.2">
      <c r="A245" s="9" t="s">
        <v>357</v>
      </c>
      <c r="B245" s="9" t="s">
        <v>17</v>
      </c>
      <c r="C245" s="9" t="s">
        <v>358</v>
      </c>
      <c r="D245" s="456" t="str">
        <f>HYPERLINK("https://cloud.mail.ru/public/D1kS/GbmX3qes5","Ссылка")</f>
        <v>Ссылка</v>
      </c>
      <c r="E245" s="457" t="str">
        <f>HYPERLINK("https://adv-map.ru/place/?LINK=bf09e0f4483fa04eb1c76984007e21c6","Ссылка")</f>
        <v>Ссылка</v>
      </c>
      <c r="F245" s="9" t="s">
        <v>359</v>
      </c>
      <c r="G245" s="10" t="s">
        <v>16</v>
      </c>
      <c r="H245" s="11">
        <v>25000</v>
      </c>
      <c r="I245" s="13" t="s">
        <v>26</v>
      </c>
    </row>
    <row r="246" spans="1:9" s="8" customFormat="1" ht="18" customHeight="1" outlineLevel="1" x14ac:dyDescent="0.2">
      <c r="A246" s="9" t="s">
        <v>360</v>
      </c>
      <c r="B246" s="9" t="s">
        <v>13</v>
      </c>
      <c r="C246" s="9" t="s">
        <v>361</v>
      </c>
      <c r="D246" s="458" t="str">
        <f>HYPERLINK("https://cloud.mail.ru/public/FNrq/ggDs1vMh1","Ссылка")</f>
        <v>Ссылка</v>
      </c>
      <c r="E246" s="459" t="str">
        <f>HYPERLINK("https://adv-map.ru/place/?LINK=57d66751aa111fdfb6bbd6611c90c194","Ссылка")</f>
        <v>Ссылка</v>
      </c>
      <c r="F246" s="9" t="s">
        <v>362</v>
      </c>
      <c r="G246" s="10" t="s">
        <v>16</v>
      </c>
      <c r="H246" s="11">
        <v>33000</v>
      </c>
      <c r="I246" s="13" t="s">
        <v>26</v>
      </c>
    </row>
    <row r="247" spans="1:9" s="8" customFormat="1" ht="18" customHeight="1" outlineLevel="1" x14ac:dyDescent="0.2">
      <c r="A247" s="9" t="s">
        <v>360</v>
      </c>
      <c r="B247" s="9" t="s">
        <v>17</v>
      </c>
      <c r="C247" s="9" t="s">
        <v>361</v>
      </c>
      <c r="D247" s="460" t="str">
        <f>HYPERLINK("https://cloud.mail.ru/public/pafM/AsV3jsDZL","Ссылка")</f>
        <v>Ссылка</v>
      </c>
      <c r="E247" s="461" t="str">
        <f>HYPERLINK("https://adv-map.ru/place/?LINK=9ff260fd6d257a0814d0d26722faf774","Ссылка")</f>
        <v>Ссылка</v>
      </c>
      <c r="F247" s="9" t="s">
        <v>362</v>
      </c>
      <c r="G247" s="10" t="s">
        <v>16</v>
      </c>
      <c r="H247" s="11">
        <v>27000</v>
      </c>
      <c r="I247" s="12"/>
    </row>
    <row r="248" spans="1:9" s="8" customFormat="1" ht="18" customHeight="1" outlineLevel="1" x14ac:dyDescent="0.2">
      <c r="A248" s="9" t="s">
        <v>363</v>
      </c>
      <c r="B248" s="9" t="s">
        <v>22</v>
      </c>
      <c r="C248" s="9" t="s">
        <v>364</v>
      </c>
      <c r="D248" s="462" t="str">
        <f>HYPERLINK("https://cloud.mail.ru/public/xVyM/aW4x28XFt","Ссылка")</f>
        <v>Ссылка</v>
      </c>
      <c r="E248" s="463" t="str">
        <f>HYPERLINK("https://adv-map.ru/place/?LINK=6ad7a04695c64f6962c0152678043a70","Ссылка")</f>
        <v>Ссылка</v>
      </c>
      <c r="F248" s="9" t="s">
        <v>365</v>
      </c>
      <c r="G248" s="10" t="s">
        <v>51</v>
      </c>
      <c r="H248" s="11">
        <v>31000</v>
      </c>
      <c r="I248" s="13" t="s">
        <v>26</v>
      </c>
    </row>
    <row r="249" spans="1:9" s="8" customFormat="1" ht="18" customHeight="1" outlineLevel="1" x14ac:dyDescent="0.2">
      <c r="A249" s="9" t="s">
        <v>363</v>
      </c>
      <c r="B249" s="9" t="s">
        <v>27</v>
      </c>
      <c r="C249" s="9" t="s">
        <v>364</v>
      </c>
      <c r="D249" s="462" t="str">
        <f>HYPERLINK("https://cloud.mail.ru/public/xVyM/aW4x28XFt","Ссылка")</f>
        <v>Ссылка</v>
      </c>
      <c r="E249" s="464" t="str">
        <f>HYPERLINK("https://adv-map.ru/place/?LINK=02c852daea47aaf2684a6933dd700716","Ссылка")</f>
        <v>Ссылка</v>
      </c>
      <c r="F249" s="9" t="s">
        <v>365</v>
      </c>
      <c r="G249" s="10" t="s">
        <v>51</v>
      </c>
      <c r="H249" s="11">
        <v>31000</v>
      </c>
      <c r="I249" s="12"/>
    </row>
    <row r="250" spans="1:9" s="8" customFormat="1" ht="18" customHeight="1" outlineLevel="1" x14ac:dyDescent="0.2">
      <c r="A250" s="9" t="s">
        <v>363</v>
      </c>
      <c r="B250" s="9" t="s">
        <v>28</v>
      </c>
      <c r="C250" s="9" t="s">
        <v>364</v>
      </c>
      <c r="D250" s="462" t="str">
        <f>HYPERLINK("https://cloud.mail.ru/public/xVyM/aW4x28XFt","Ссылка")</f>
        <v>Ссылка</v>
      </c>
      <c r="E250" s="465" t="str">
        <f>HYPERLINK("https://adv-map.ru/place/?LINK=d589e3665d7afad4285f4524be8a282a","Ссылка")</f>
        <v>Ссылка</v>
      </c>
      <c r="F250" s="9" t="s">
        <v>365</v>
      </c>
      <c r="G250" s="10" t="s">
        <v>51</v>
      </c>
      <c r="H250" s="11">
        <v>31000</v>
      </c>
      <c r="I250" s="12"/>
    </row>
    <row r="251" spans="1:9" s="8" customFormat="1" ht="18" customHeight="1" outlineLevel="1" x14ac:dyDescent="0.2">
      <c r="A251" s="9" t="s">
        <v>363</v>
      </c>
      <c r="B251" s="9" t="s">
        <v>17</v>
      </c>
      <c r="C251" s="9" t="s">
        <v>364</v>
      </c>
      <c r="D251" s="466" t="str">
        <f>HYPERLINK("https://cloud.mail.ru/public/5vEw/4RSNYLC3r","Ссылка")</f>
        <v>Ссылка</v>
      </c>
      <c r="E251" s="467" t="str">
        <f>HYPERLINK("https://adv-map.ru/place/?LINK=94b33bcda0064156a207a6ff7f0886bf","Ссылка")</f>
        <v>Ссылка</v>
      </c>
      <c r="F251" s="9" t="s">
        <v>365</v>
      </c>
      <c r="G251" s="10" t="s">
        <v>16</v>
      </c>
      <c r="H251" s="11">
        <v>31000</v>
      </c>
      <c r="I251" s="13" t="s">
        <v>86</v>
      </c>
    </row>
    <row r="252" spans="1:9" s="8" customFormat="1" ht="18" customHeight="1" outlineLevel="1" x14ac:dyDescent="0.2">
      <c r="A252" s="9" t="s">
        <v>366</v>
      </c>
      <c r="B252" s="9" t="s">
        <v>22</v>
      </c>
      <c r="C252" s="9" t="s">
        <v>367</v>
      </c>
      <c r="D252" s="468" t="str">
        <f>HYPERLINK("https://cloud.mail.ru/public/ekQc/TLQN3SbxB","Ссылка")</f>
        <v>Ссылка</v>
      </c>
      <c r="E252" s="469" t="str">
        <f>HYPERLINK("https://adv-map.ru/place/?LINK=827a24f3cbb0cc37e8b4a4cc0243f509","Ссылка")</f>
        <v>Ссылка</v>
      </c>
      <c r="F252" s="9" t="s">
        <v>368</v>
      </c>
      <c r="G252" s="10" t="s">
        <v>51</v>
      </c>
      <c r="H252" s="11">
        <v>31000</v>
      </c>
      <c r="I252" s="13" t="s">
        <v>26</v>
      </c>
    </row>
    <row r="253" spans="1:9" s="8" customFormat="1" ht="18" customHeight="1" outlineLevel="1" x14ac:dyDescent="0.2">
      <c r="A253" s="9" t="s">
        <v>366</v>
      </c>
      <c r="B253" s="9" t="s">
        <v>27</v>
      </c>
      <c r="C253" s="9" t="s">
        <v>367</v>
      </c>
      <c r="D253" s="468" t="str">
        <f>HYPERLINK("https://cloud.mail.ru/public/ekQc/TLQN3SbxB","Ссылка")</f>
        <v>Ссылка</v>
      </c>
      <c r="E253" s="470" t="str">
        <f>HYPERLINK("https://adv-map.ru/place/?LINK=d61bb8e1ee71095dfc33403c666e7b75","Ссылка")</f>
        <v>Ссылка</v>
      </c>
      <c r="F253" s="9" t="s">
        <v>368</v>
      </c>
      <c r="G253" s="10" t="s">
        <v>51</v>
      </c>
      <c r="H253" s="11">
        <v>31000</v>
      </c>
      <c r="I253" s="12"/>
    </row>
    <row r="254" spans="1:9" s="8" customFormat="1" ht="18" customHeight="1" outlineLevel="1" x14ac:dyDescent="0.2">
      <c r="A254" s="9" t="s">
        <v>366</v>
      </c>
      <c r="B254" s="9" t="s">
        <v>28</v>
      </c>
      <c r="C254" s="9" t="s">
        <v>367</v>
      </c>
      <c r="D254" s="468" t="str">
        <f>HYPERLINK("https://cloud.mail.ru/public/ekQc/TLQN3SbxB","Ссылка")</f>
        <v>Ссылка</v>
      </c>
      <c r="E254" s="471" t="str">
        <f>HYPERLINK("https://adv-map.ru/place/?LINK=a477ee361fbadb81c5edcf34f18a6cf5","Ссылка")</f>
        <v>Ссылка</v>
      </c>
      <c r="F254" s="9" t="s">
        <v>368</v>
      </c>
      <c r="G254" s="10" t="s">
        <v>51</v>
      </c>
      <c r="H254" s="11">
        <v>31000</v>
      </c>
      <c r="I254" s="12"/>
    </row>
    <row r="255" spans="1:9" s="8" customFormat="1" ht="18" customHeight="1" outlineLevel="1" x14ac:dyDescent="0.2">
      <c r="A255" s="9" t="s">
        <v>366</v>
      </c>
      <c r="B255" s="9" t="s">
        <v>17</v>
      </c>
      <c r="C255" s="9" t="s">
        <v>367</v>
      </c>
      <c r="D255" s="472" t="str">
        <f>HYPERLINK("https://cloud.mail.ru/public/i3qx/DrSJAzGdw","Ссылка")</f>
        <v>Ссылка</v>
      </c>
      <c r="E255" s="473" t="str">
        <f>HYPERLINK("https://adv-map.ru/place/?LINK=ceff42a089455aa211b0862957f8ec64","Ссылка")</f>
        <v>Ссылка</v>
      </c>
      <c r="F255" s="9" t="s">
        <v>368</v>
      </c>
      <c r="G255" s="10" t="s">
        <v>51</v>
      </c>
      <c r="H255" s="11">
        <v>30000</v>
      </c>
      <c r="I255" s="13" t="s">
        <v>26</v>
      </c>
    </row>
    <row r="256" spans="1:9" s="8" customFormat="1" ht="18" customHeight="1" outlineLevel="1" x14ac:dyDescent="0.2">
      <c r="A256" s="9" t="s">
        <v>369</v>
      </c>
      <c r="B256" s="9" t="s">
        <v>13</v>
      </c>
      <c r="C256" s="9" t="s">
        <v>370</v>
      </c>
      <c r="D256" s="474" t="str">
        <f>HYPERLINK("https://cloud.mail.ru/public/Kr8W/vJcoNYT3L","Ссылка")</f>
        <v>Ссылка</v>
      </c>
      <c r="E256" s="475" t="str">
        <f>HYPERLINK("https://adv-map.ru/place/?LINK=7560907f09b27dc84728940e21a6f2d5","Ссылка")</f>
        <v>Ссылка</v>
      </c>
      <c r="F256" s="9" t="s">
        <v>371</v>
      </c>
      <c r="G256" s="10" t="s">
        <v>16</v>
      </c>
      <c r="H256" s="11">
        <v>33000</v>
      </c>
      <c r="I256" s="13" t="s">
        <v>26</v>
      </c>
    </row>
    <row r="257" spans="1:9" s="8" customFormat="1" ht="18" customHeight="1" outlineLevel="1" x14ac:dyDescent="0.2">
      <c r="A257" s="9" t="s">
        <v>369</v>
      </c>
      <c r="B257" s="9" t="s">
        <v>17</v>
      </c>
      <c r="C257" s="9" t="s">
        <v>370</v>
      </c>
      <c r="D257" s="474" t="str">
        <f>HYPERLINK("https://cloud.mail.ru/public/Kr8W/vJcoNYT3L","Ссылка")</f>
        <v>Ссылка</v>
      </c>
      <c r="E257" s="476" t="str">
        <f>HYPERLINK("https://adv-map.ru/place/?LINK=3efcc3e47d1ede4382ee09d922edac30","Ссылка")</f>
        <v>Ссылка</v>
      </c>
      <c r="F257" s="9" t="s">
        <v>371</v>
      </c>
      <c r="G257" s="10" t="s">
        <v>16</v>
      </c>
      <c r="H257" s="11">
        <v>27000</v>
      </c>
      <c r="I257" s="13" t="s">
        <v>26</v>
      </c>
    </row>
    <row r="258" spans="1:9" s="8" customFormat="1" ht="18" customHeight="1" outlineLevel="1" x14ac:dyDescent="0.2">
      <c r="A258" s="9" t="s">
        <v>372</v>
      </c>
      <c r="B258" s="9" t="s">
        <v>13</v>
      </c>
      <c r="C258" s="9" t="s">
        <v>373</v>
      </c>
      <c r="D258" s="477" t="str">
        <f>HYPERLINK("https://cloud.mail.ru/public/vwMt/Xzn1eGMN7","Ссылка")</f>
        <v>Ссылка</v>
      </c>
      <c r="E258" s="478" t="str">
        <f>HYPERLINK("https://adv-map.ru/place/?LINK=27d48c3352355a8fb5c4358a526eeee6","Ссылка")</f>
        <v>Ссылка</v>
      </c>
      <c r="F258" s="9" t="s">
        <v>374</v>
      </c>
      <c r="G258" s="10" t="s">
        <v>16</v>
      </c>
      <c r="H258" s="11">
        <v>31000</v>
      </c>
      <c r="I258" s="13" t="s">
        <v>26</v>
      </c>
    </row>
    <row r="259" spans="1:9" s="8" customFormat="1" ht="18" customHeight="1" outlineLevel="1" x14ac:dyDescent="0.2">
      <c r="A259" s="9" t="s">
        <v>372</v>
      </c>
      <c r="B259" s="9" t="s">
        <v>17</v>
      </c>
      <c r="C259" s="9" t="s">
        <v>373</v>
      </c>
      <c r="D259" s="479" t="str">
        <f>HYPERLINK("https://cloud.mail.ru/public/dD5s/XMWLEzRT2","Ссылка")</f>
        <v>Ссылка</v>
      </c>
      <c r="E259" s="480" t="str">
        <f>HYPERLINK("https://adv-map.ru/place/?LINK=e2c9e6f3c92aae7157c3dbd8dca87436","Ссылка")</f>
        <v>Ссылка</v>
      </c>
      <c r="F259" s="9" t="s">
        <v>374</v>
      </c>
      <c r="G259" s="10" t="s">
        <v>16</v>
      </c>
      <c r="H259" s="11">
        <v>25000</v>
      </c>
      <c r="I259" s="12"/>
    </row>
    <row r="260" spans="1:9" s="8" customFormat="1" ht="18" customHeight="1" outlineLevel="1" x14ac:dyDescent="0.2">
      <c r="A260" s="9" t="s">
        <v>375</v>
      </c>
      <c r="B260" s="9" t="s">
        <v>22</v>
      </c>
      <c r="C260" s="9" t="s">
        <v>376</v>
      </c>
      <c r="D260" s="481" t="str">
        <f>HYPERLINK("https://cloud.mail.ru/public/XJyL/btQw6Wn73","Ссылка")</f>
        <v>Ссылка</v>
      </c>
      <c r="E260" s="482" t="str">
        <f>HYPERLINK("https://adv-map.ru/place/?LINK=98e0c0d510793ed747424ccec64658d7","Ссылка")</f>
        <v>Ссылка</v>
      </c>
      <c r="F260" s="9" t="s">
        <v>377</v>
      </c>
      <c r="G260" s="10" t="s">
        <v>51</v>
      </c>
      <c r="H260" s="11">
        <v>29000</v>
      </c>
      <c r="I260" s="12"/>
    </row>
    <row r="261" spans="1:9" s="8" customFormat="1" ht="18" customHeight="1" outlineLevel="1" x14ac:dyDescent="0.2">
      <c r="A261" s="9" t="s">
        <v>375</v>
      </c>
      <c r="B261" s="9" t="s">
        <v>27</v>
      </c>
      <c r="C261" s="9" t="s">
        <v>376</v>
      </c>
      <c r="D261" s="481" t="str">
        <f>HYPERLINK("https://cloud.mail.ru/public/XJyL/btQw6Wn73","Ссылка")</f>
        <v>Ссылка</v>
      </c>
      <c r="E261" s="483" t="str">
        <f>HYPERLINK("https://adv-map.ru/place/?LINK=fb18aa7cdb8dca75d276b10df310f20f","Ссылка")</f>
        <v>Ссылка</v>
      </c>
      <c r="F261" s="9" t="s">
        <v>377</v>
      </c>
      <c r="G261" s="10" t="s">
        <v>51</v>
      </c>
      <c r="H261" s="11">
        <v>29000</v>
      </c>
      <c r="I261" s="13" t="s">
        <v>90</v>
      </c>
    </row>
    <row r="262" spans="1:9" s="8" customFormat="1" ht="18" customHeight="1" outlineLevel="1" x14ac:dyDescent="0.2">
      <c r="A262" s="9" t="s">
        <v>375</v>
      </c>
      <c r="B262" s="9" t="s">
        <v>28</v>
      </c>
      <c r="C262" s="9" t="s">
        <v>376</v>
      </c>
      <c r="D262" s="481" t="str">
        <f>HYPERLINK("https://cloud.mail.ru/public/XJyL/btQw6Wn73","Ссылка")</f>
        <v>Ссылка</v>
      </c>
      <c r="E262" s="484" t="str">
        <f>HYPERLINK("https://adv-map.ru/place/?LINK=b17ae52e3d01fd104c6a7ba5bc2acd8b","Ссылка")</f>
        <v>Ссылка</v>
      </c>
      <c r="F262" s="9" t="s">
        <v>377</v>
      </c>
      <c r="G262" s="10" t="s">
        <v>51</v>
      </c>
      <c r="H262" s="11">
        <v>29000</v>
      </c>
      <c r="I262" s="13" t="s">
        <v>26</v>
      </c>
    </row>
    <row r="263" spans="1:9" s="8" customFormat="1" ht="18" customHeight="1" outlineLevel="1" x14ac:dyDescent="0.2">
      <c r="A263" s="9" t="s">
        <v>375</v>
      </c>
      <c r="B263" s="9" t="s">
        <v>17</v>
      </c>
      <c r="C263" s="9" t="s">
        <v>376</v>
      </c>
      <c r="D263" s="485" t="str">
        <f>HYPERLINK("https://cloud.mail.ru/public/ZCpW/3MLyYoqcj","Ссылка")</f>
        <v>Ссылка</v>
      </c>
      <c r="E263" s="486" t="str">
        <f>HYPERLINK("https://adv-map.ru/place/?LINK=0fb3f00bf1c569d1a266b972d3a56c95","Ссылка")</f>
        <v>Ссылка</v>
      </c>
      <c r="F263" s="9" t="s">
        <v>377</v>
      </c>
      <c r="G263" s="10" t="s">
        <v>16</v>
      </c>
      <c r="H263" s="11">
        <v>25000</v>
      </c>
      <c r="I263" s="13" t="s">
        <v>26</v>
      </c>
    </row>
    <row r="264" spans="1:9" s="8" customFormat="1" ht="18" customHeight="1" outlineLevel="1" x14ac:dyDescent="0.2">
      <c r="A264" s="9" t="s">
        <v>378</v>
      </c>
      <c r="B264" s="9" t="s">
        <v>13</v>
      </c>
      <c r="C264" s="9" t="s">
        <v>379</v>
      </c>
      <c r="D264" s="487" t="str">
        <f>HYPERLINK("https://cloud.mail.ru/public/tJuS/c59BujGqi","Ссылка")</f>
        <v>Ссылка</v>
      </c>
      <c r="E264" s="488" t="str">
        <f>HYPERLINK("https://adv-map.ru/place/?LINK=389845e9f12e3eb8af4479e63dbd131e","Ссылка")</f>
        <v>Ссылка</v>
      </c>
      <c r="F264" s="9" t="s">
        <v>380</v>
      </c>
      <c r="G264" s="10" t="s">
        <v>16</v>
      </c>
      <c r="H264" s="11">
        <v>31000</v>
      </c>
      <c r="I264" s="13" t="s">
        <v>26</v>
      </c>
    </row>
    <row r="265" spans="1:9" s="8" customFormat="1" ht="18" customHeight="1" outlineLevel="1" x14ac:dyDescent="0.2">
      <c r="A265" s="9" t="s">
        <v>378</v>
      </c>
      <c r="B265" s="9" t="s">
        <v>17</v>
      </c>
      <c r="C265" s="9" t="s">
        <v>379</v>
      </c>
      <c r="D265" s="489" t="str">
        <f>HYPERLINK("https://cloud.mail.ru/public/wpPA/KnBZQryUN","Ссылка")</f>
        <v>Ссылка</v>
      </c>
      <c r="E265" s="490" t="str">
        <f>HYPERLINK("https://adv-map.ru/place/?LINK=e20028aefef7c3e6fbca99e9881200c7","Ссылка")</f>
        <v>Ссылка</v>
      </c>
      <c r="F265" s="9" t="s">
        <v>380</v>
      </c>
      <c r="G265" s="10" t="s">
        <v>16</v>
      </c>
      <c r="H265" s="11">
        <v>27000</v>
      </c>
      <c r="I265" s="12"/>
    </row>
    <row r="266" spans="1:9" s="8" customFormat="1" ht="18" customHeight="1" outlineLevel="1" x14ac:dyDescent="0.2">
      <c r="A266" s="9" t="s">
        <v>381</v>
      </c>
      <c r="B266" s="9" t="s">
        <v>13</v>
      </c>
      <c r="C266" s="9" t="s">
        <v>382</v>
      </c>
      <c r="D266" s="491" t="str">
        <f>HYPERLINK("https://cloud.mail.ru/public/zsQ2/eM21pWDm6","Ссылка")</f>
        <v>Ссылка</v>
      </c>
      <c r="E266" s="492" t="str">
        <f>HYPERLINK("https://adv-map.ru/place/?LINK=338fc05d0e238ed0d7b2c49c87dbb50e","Ссылка")</f>
        <v>Ссылка</v>
      </c>
      <c r="F266" s="9" t="s">
        <v>383</v>
      </c>
      <c r="G266" s="10" t="s">
        <v>16</v>
      </c>
      <c r="H266" s="11">
        <v>31000</v>
      </c>
      <c r="I266" s="13" t="s">
        <v>26</v>
      </c>
    </row>
    <row r="267" spans="1:9" s="8" customFormat="1" ht="18" customHeight="1" outlineLevel="1" x14ac:dyDescent="0.2">
      <c r="A267" s="9" t="s">
        <v>381</v>
      </c>
      <c r="B267" s="9" t="s">
        <v>17</v>
      </c>
      <c r="C267" s="9" t="s">
        <v>382</v>
      </c>
      <c r="D267" s="493" t="str">
        <f>HYPERLINK("https://cloud.mail.ru/public/gsQP/Ff5gJL7aa","Ссылка")</f>
        <v>Ссылка</v>
      </c>
      <c r="E267" s="494" t="str">
        <f>HYPERLINK("https://adv-map.ru/place/?LINK=4d40d01fa83ecd701cde2ebb4b23c603","Ссылка")</f>
        <v>Ссылка</v>
      </c>
      <c r="F267" s="9" t="s">
        <v>383</v>
      </c>
      <c r="G267" s="10" t="s">
        <v>16</v>
      </c>
      <c r="H267" s="11">
        <v>25000</v>
      </c>
      <c r="I267" s="12"/>
    </row>
    <row r="268" spans="1:9" s="8" customFormat="1" ht="18" customHeight="1" outlineLevel="1" x14ac:dyDescent="0.2">
      <c r="A268" s="9" t="s">
        <v>384</v>
      </c>
      <c r="B268" s="9" t="s">
        <v>28</v>
      </c>
      <c r="C268" s="9" t="s">
        <v>385</v>
      </c>
      <c r="D268" s="495" t="str">
        <f>HYPERLINK("https://cloud.mail.ru/public/jQey/59jtNjaTD","Ссылка")</f>
        <v>Ссылка</v>
      </c>
      <c r="E268" s="496" t="str">
        <f>HYPERLINK("https://adv-map.ru/place/?LINK=9d9a91200dc193f8b27f2ac3e85a9933","Ссылка")</f>
        <v>Ссылка</v>
      </c>
      <c r="F268" s="9" t="s">
        <v>386</v>
      </c>
      <c r="G268" s="10" t="s">
        <v>51</v>
      </c>
      <c r="H268" s="11">
        <v>26500</v>
      </c>
      <c r="I268" s="12"/>
    </row>
    <row r="269" spans="1:9" s="8" customFormat="1" ht="18" customHeight="1" outlineLevel="1" x14ac:dyDescent="0.2">
      <c r="A269" s="9" t="s">
        <v>384</v>
      </c>
      <c r="B269" s="9" t="s">
        <v>17</v>
      </c>
      <c r="C269" s="9" t="s">
        <v>385</v>
      </c>
      <c r="D269" s="497" t="str">
        <f>HYPERLINK("https://cloud.mail.ru/public/uU1w/SZgwvwubF","Ссылка")</f>
        <v>Ссылка</v>
      </c>
      <c r="E269" s="498" t="str">
        <f>HYPERLINK("https://adv-map.ru/place/?LINK=e3372581d2787e0aee3560af2468ff7c","Ссылка")</f>
        <v>Ссылка</v>
      </c>
      <c r="F269" s="9" t="s">
        <v>386</v>
      </c>
      <c r="G269" s="10" t="s">
        <v>16</v>
      </c>
      <c r="H269" s="11">
        <v>25000</v>
      </c>
      <c r="I269" s="12"/>
    </row>
    <row r="270" spans="1:9" s="8" customFormat="1" ht="18" customHeight="1" outlineLevel="1" x14ac:dyDescent="0.2">
      <c r="A270" s="9" t="s">
        <v>387</v>
      </c>
      <c r="B270" s="9" t="s">
        <v>22</v>
      </c>
      <c r="C270" s="9" t="s">
        <v>388</v>
      </c>
      <c r="D270" s="499" t="str">
        <f>HYPERLINK("https://cloud.mail.ru/public/ih55/DwVfMiTQW","Ссылка")</f>
        <v>Ссылка</v>
      </c>
      <c r="E270" s="500" t="str">
        <f>HYPERLINK("https://adv-map.ru/place/?LINK=32aba65dda8526b1087a4ae1ac59a79d","Ссылка")</f>
        <v>Ссылка</v>
      </c>
      <c r="F270" s="9" t="s">
        <v>389</v>
      </c>
      <c r="G270" s="10" t="s">
        <v>51</v>
      </c>
      <c r="H270" s="11">
        <v>25000</v>
      </c>
      <c r="I270" s="12"/>
    </row>
    <row r="271" spans="1:9" s="8" customFormat="1" ht="18" customHeight="1" outlineLevel="1" x14ac:dyDescent="0.2">
      <c r="A271" s="9" t="s">
        <v>387</v>
      </c>
      <c r="B271" s="9" t="s">
        <v>27</v>
      </c>
      <c r="C271" s="9" t="s">
        <v>388</v>
      </c>
      <c r="D271" s="499" t="str">
        <f>HYPERLINK("https://cloud.mail.ru/public/ih55/DwVfMiTQW","Ссылка")</f>
        <v>Ссылка</v>
      </c>
      <c r="E271" s="501" t="str">
        <f>HYPERLINK("https://adv-map.ru/place/?LINK=6de1a4bc770dba9e108b59fe7b67b2bb","Ссылка")</f>
        <v>Ссылка</v>
      </c>
      <c r="F271" s="9" t="s">
        <v>389</v>
      </c>
      <c r="G271" s="10" t="s">
        <v>51</v>
      </c>
      <c r="H271" s="11">
        <v>25000</v>
      </c>
      <c r="I271" s="13" t="s">
        <v>26</v>
      </c>
    </row>
    <row r="272" spans="1:9" s="8" customFormat="1" ht="18" customHeight="1" outlineLevel="1" x14ac:dyDescent="0.2">
      <c r="A272" s="9" t="s">
        <v>387</v>
      </c>
      <c r="B272" s="9" t="s">
        <v>28</v>
      </c>
      <c r="C272" s="9" t="s">
        <v>388</v>
      </c>
      <c r="D272" s="499" t="str">
        <f>HYPERLINK("https://cloud.mail.ru/public/ih55/DwVfMiTQW","Ссылка")</f>
        <v>Ссылка</v>
      </c>
      <c r="E272" s="502" t="str">
        <f>HYPERLINK("https://adv-map.ru/place/?LINK=12470261d15dd3ff53c595ea413481f8","Ссылка")</f>
        <v>Ссылка</v>
      </c>
      <c r="F272" s="9" t="s">
        <v>389</v>
      </c>
      <c r="G272" s="10" t="s">
        <v>51</v>
      </c>
      <c r="H272" s="11">
        <v>25000</v>
      </c>
      <c r="I272" s="12"/>
    </row>
    <row r="273" spans="1:9" s="8" customFormat="1" ht="18" customHeight="1" outlineLevel="1" x14ac:dyDescent="0.2">
      <c r="A273" s="9" t="s">
        <v>387</v>
      </c>
      <c r="B273" s="9" t="s">
        <v>17</v>
      </c>
      <c r="C273" s="9" t="s">
        <v>388</v>
      </c>
      <c r="D273" s="503" t="str">
        <f>HYPERLINK("https://cloud.mail.ru/public/QK1P/1gm4NrPQ5","Ссылка")</f>
        <v>Ссылка</v>
      </c>
      <c r="E273" s="504" t="str">
        <f>HYPERLINK("https://adv-map.ru/place/?LINK=9321a1e34b2c9edea6ce0777e0a047af","Ссылка")</f>
        <v>Ссылка</v>
      </c>
      <c r="F273" s="9" t="s">
        <v>389</v>
      </c>
      <c r="G273" s="10" t="s">
        <v>16</v>
      </c>
      <c r="H273" s="11">
        <v>23000</v>
      </c>
      <c r="I273" s="13" t="s">
        <v>47</v>
      </c>
    </row>
    <row r="274" spans="1:9" s="8" customFormat="1" ht="18" customHeight="1" outlineLevel="1" x14ac:dyDescent="0.2">
      <c r="A274" s="9" t="s">
        <v>390</v>
      </c>
      <c r="B274" s="9" t="s">
        <v>13</v>
      </c>
      <c r="C274" s="9" t="s">
        <v>391</v>
      </c>
      <c r="D274" s="505" t="str">
        <f>HYPERLINK("https://cloud.mail.ru/public/DE35/6RP7Bevfw","Ссылка")</f>
        <v>Ссылка</v>
      </c>
      <c r="E274" s="506" t="str">
        <f>HYPERLINK("https://adv-map.ru/place/?LINK=b91152bcc65dc8c673d937f80f2829fb","Ссылка")</f>
        <v>Ссылка</v>
      </c>
      <c r="F274" s="9" t="s">
        <v>392</v>
      </c>
      <c r="G274" s="10" t="s">
        <v>16</v>
      </c>
      <c r="H274" s="11">
        <v>33000</v>
      </c>
      <c r="I274" s="13" t="s">
        <v>26</v>
      </c>
    </row>
    <row r="275" spans="1:9" s="8" customFormat="1" ht="18" customHeight="1" outlineLevel="1" x14ac:dyDescent="0.2">
      <c r="A275" s="9" t="s">
        <v>390</v>
      </c>
      <c r="B275" s="9" t="s">
        <v>17</v>
      </c>
      <c r="C275" s="9" t="s">
        <v>391</v>
      </c>
      <c r="D275" s="507" t="str">
        <f>HYPERLINK("https://cloud.mail.ru/public/Jjuf/P1vcv1wqn","Ссылка")</f>
        <v>Ссылка</v>
      </c>
      <c r="E275" s="508" t="str">
        <f>HYPERLINK("https://adv-map.ru/place/?LINK=7deeb27ad0a5cc3e7ecd5b8a9fe77381","Ссылка")</f>
        <v>Ссылка</v>
      </c>
      <c r="F275" s="9" t="s">
        <v>392</v>
      </c>
      <c r="G275" s="10" t="s">
        <v>16</v>
      </c>
      <c r="H275" s="11">
        <v>25000</v>
      </c>
      <c r="I275" s="12"/>
    </row>
    <row r="276" spans="1:9" s="8" customFormat="1" ht="18" customHeight="1" outlineLevel="1" x14ac:dyDescent="0.2">
      <c r="A276" s="9" t="s">
        <v>393</v>
      </c>
      <c r="B276" s="9" t="s">
        <v>13</v>
      </c>
      <c r="C276" s="9" t="s">
        <v>394</v>
      </c>
      <c r="D276" s="509" t="str">
        <f>HYPERLINK("https://cloud.mail.ru/public/BXwQ/KLtpVcZST","Ссылка")</f>
        <v>Ссылка</v>
      </c>
      <c r="E276" s="510" t="str">
        <f>HYPERLINK("https://adv-map.ru/place/?LINK=0e003c11ce47b4c1152aad7b2aafe687","Ссылка")</f>
        <v>Ссылка</v>
      </c>
      <c r="F276" s="9" t="s">
        <v>395</v>
      </c>
      <c r="G276" s="10" t="s">
        <v>16</v>
      </c>
      <c r="H276" s="11">
        <v>31000</v>
      </c>
      <c r="I276" s="13" t="s">
        <v>26</v>
      </c>
    </row>
    <row r="277" spans="1:9" s="8" customFormat="1" ht="18" customHeight="1" outlineLevel="1" x14ac:dyDescent="0.2">
      <c r="A277" s="9" t="s">
        <v>393</v>
      </c>
      <c r="B277" s="9" t="s">
        <v>17</v>
      </c>
      <c r="C277" s="9" t="s">
        <v>394</v>
      </c>
      <c r="D277" s="511" t="str">
        <f>HYPERLINK("https://cloud.mail.ru/public/gPPo/MAiXXHiHP","Ссылка")</f>
        <v>Ссылка</v>
      </c>
      <c r="E277" s="512" t="str">
        <f>HYPERLINK("https://adv-map.ru/place/?LINK=f660d6e918bcc2e7ecebb5eac78fd3db","Ссылка")</f>
        <v>Ссылка</v>
      </c>
      <c r="F277" s="9" t="s">
        <v>395</v>
      </c>
      <c r="G277" s="10" t="s">
        <v>16</v>
      </c>
      <c r="H277" s="11">
        <v>25000</v>
      </c>
      <c r="I277" s="12"/>
    </row>
    <row r="278" spans="1:9" s="8" customFormat="1" ht="18" customHeight="1" outlineLevel="1" x14ac:dyDescent="0.2">
      <c r="A278" s="9" t="s">
        <v>396</v>
      </c>
      <c r="B278" s="9" t="s">
        <v>13</v>
      </c>
      <c r="C278" s="9" t="s">
        <v>397</v>
      </c>
      <c r="D278" s="513" t="str">
        <f>HYPERLINK("https://cloud.mail.ru/public/oJ6M/oCoM9kxf1","Ссылка")</f>
        <v>Ссылка</v>
      </c>
      <c r="E278" s="514" t="str">
        <f>HYPERLINK("https://adv-map.ru/place/?LINK=5a2c19d79068803aade3413e909d6ddd","Ссылка")</f>
        <v>Ссылка</v>
      </c>
      <c r="F278" s="9" t="s">
        <v>398</v>
      </c>
      <c r="G278" s="10" t="s">
        <v>16</v>
      </c>
      <c r="H278" s="11">
        <v>33000</v>
      </c>
      <c r="I278" s="13" t="s">
        <v>26</v>
      </c>
    </row>
    <row r="279" spans="1:9" s="8" customFormat="1" ht="18" customHeight="1" outlineLevel="1" x14ac:dyDescent="0.2">
      <c r="A279" s="9" t="s">
        <v>396</v>
      </c>
      <c r="B279" s="9" t="s">
        <v>17</v>
      </c>
      <c r="C279" s="9" t="s">
        <v>397</v>
      </c>
      <c r="D279" s="515" t="str">
        <f>HYPERLINK("https://cloud.mail.ru/public/aZxi/1XXYnsotB","Ссылка")</f>
        <v>Ссылка</v>
      </c>
      <c r="E279" s="516" t="str">
        <f>HYPERLINK("https://adv-map.ru/place/?LINK=87f70ef7bffa32213b4efe1f5f0c4b9e","Ссылка")</f>
        <v>Ссылка</v>
      </c>
      <c r="F279" s="9" t="s">
        <v>398</v>
      </c>
      <c r="G279" s="10" t="s">
        <v>16</v>
      </c>
      <c r="H279" s="11">
        <v>31000</v>
      </c>
      <c r="I279" s="13" t="s">
        <v>47</v>
      </c>
    </row>
    <row r="280" spans="1:9" s="8" customFormat="1" ht="18" customHeight="1" outlineLevel="1" x14ac:dyDescent="0.2">
      <c r="A280" s="9" t="s">
        <v>399</v>
      </c>
      <c r="B280" s="9" t="s">
        <v>13</v>
      </c>
      <c r="C280" s="9" t="s">
        <v>394</v>
      </c>
      <c r="D280" s="517" t="str">
        <f>HYPERLINK("https://cloud.mail.ru/public/rMxJ/SH1PEphDV","Ссылка")</f>
        <v>Ссылка</v>
      </c>
      <c r="E280" s="518" t="str">
        <f>HYPERLINK("https://adv-map.ru/place/?LINK=9d036d03c1b157c0270ca01f69d6a991","Ссылка")</f>
        <v>Ссылка</v>
      </c>
      <c r="F280" s="9" t="s">
        <v>400</v>
      </c>
      <c r="G280" s="10" t="s">
        <v>16</v>
      </c>
      <c r="H280" s="11">
        <v>33000</v>
      </c>
      <c r="I280" s="13" t="s">
        <v>26</v>
      </c>
    </row>
    <row r="281" spans="1:9" s="8" customFormat="1" ht="18" customHeight="1" outlineLevel="1" x14ac:dyDescent="0.2">
      <c r="A281" s="9" t="s">
        <v>399</v>
      </c>
      <c r="B281" s="9" t="s">
        <v>17</v>
      </c>
      <c r="C281" s="9" t="s">
        <v>394</v>
      </c>
      <c r="D281" s="519" t="str">
        <f>HYPERLINK("https://cloud.mail.ru/public/Q9La/sQpTqZP2j","Ссылка")</f>
        <v>Ссылка</v>
      </c>
      <c r="E281" s="520" t="str">
        <f>HYPERLINK("https://adv-map.ru/place/?LINK=bc120695b3a92d0228d0a52ca7c51f14","Ссылка")</f>
        <v>Ссылка</v>
      </c>
      <c r="F281" s="9" t="s">
        <v>400</v>
      </c>
      <c r="G281" s="10" t="s">
        <v>16</v>
      </c>
      <c r="H281" s="11">
        <v>31000</v>
      </c>
      <c r="I281" s="13" t="s">
        <v>26</v>
      </c>
    </row>
    <row r="282" spans="1:9" s="8" customFormat="1" ht="18" customHeight="1" outlineLevel="1" x14ac:dyDescent="0.2">
      <c r="A282" s="9" t="s">
        <v>401</v>
      </c>
      <c r="B282" s="9" t="s">
        <v>13</v>
      </c>
      <c r="C282" s="9" t="s">
        <v>402</v>
      </c>
      <c r="D282" s="521" t="str">
        <f>HYPERLINK("https://cloud.mail.ru/public/JzEW/Q7eT6MLdy","Ссылка")</f>
        <v>Ссылка</v>
      </c>
      <c r="E282" s="522" t="str">
        <f>HYPERLINK("https://adv-map.ru/place/?LINK=411247a297a9851644fd84796361c44c","Ссылка")</f>
        <v>Ссылка</v>
      </c>
      <c r="F282" s="9" t="s">
        <v>403</v>
      </c>
      <c r="G282" s="10" t="s">
        <v>16</v>
      </c>
      <c r="H282" s="11">
        <v>29000</v>
      </c>
      <c r="I282" s="13" t="s">
        <v>404</v>
      </c>
    </row>
    <row r="283" spans="1:9" s="8" customFormat="1" ht="18" customHeight="1" outlineLevel="1" x14ac:dyDescent="0.2">
      <c r="A283" s="9" t="s">
        <v>401</v>
      </c>
      <c r="B283" s="9" t="s">
        <v>17</v>
      </c>
      <c r="C283" s="9" t="s">
        <v>402</v>
      </c>
      <c r="D283" s="523" t="str">
        <f>HYPERLINK("https://cloud.mail.ru/public/rPzo/27e6MHy2g","Ссылка")</f>
        <v>Ссылка</v>
      </c>
      <c r="E283" s="524" t="str">
        <f>HYPERLINK("https://adv-map.ru/place/?LINK=8d7249df5fc5eb78b4989048b05b61bf","Ссылка")</f>
        <v>Ссылка</v>
      </c>
      <c r="F283" s="9" t="s">
        <v>403</v>
      </c>
      <c r="G283" s="10" t="s">
        <v>16</v>
      </c>
      <c r="H283" s="11">
        <v>27000</v>
      </c>
      <c r="I283" s="12"/>
    </row>
    <row r="284" spans="1:9" s="8" customFormat="1" ht="18" customHeight="1" outlineLevel="1" x14ac:dyDescent="0.2">
      <c r="A284" s="9" t="s">
        <v>405</v>
      </c>
      <c r="B284" s="9" t="s">
        <v>22</v>
      </c>
      <c r="C284" s="9" t="s">
        <v>406</v>
      </c>
      <c r="D284" s="525" t="str">
        <f>HYPERLINK("https://cloud.mail.ru/public/p1oY/inuwrr8Bt","Ссылка")</f>
        <v>Ссылка</v>
      </c>
      <c r="E284" s="526" t="str">
        <f>HYPERLINK("https://adv-map.ru/place/?LINK=b9af36b27fdada97f06e83ad94972bca","Ссылка")</f>
        <v>Ссылка</v>
      </c>
      <c r="F284" s="9" t="s">
        <v>407</v>
      </c>
      <c r="G284" s="10" t="s">
        <v>51</v>
      </c>
      <c r="H284" s="11">
        <v>33000</v>
      </c>
      <c r="I284" s="13" t="s">
        <v>26</v>
      </c>
    </row>
    <row r="285" spans="1:9" s="8" customFormat="1" ht="18" customHeight="1" outlineLevel="1" x14ac:dyDescent="0.2">
      <c r="A285" s="9" t="s">
        <v>405</v>
      </c>
      <c r="B285" s="9" t="s">
        <v>27</v>
      </c>
      <c r="C285" s="9" t="s">
        <v>406</v>
      </c>
      <c r="D285" s="525" t="str">
        <f>HYPERLINK("https://cloud.mail.ru/public/p1oY/inuwrr8Bt","Ссылка")</f>
        <v>Ссылка</v>
      </c>
      <c r="E285" s="527" t="str">
        <f>HYPERLINK("https://adv-map.ru/place/?LINK=d9aa65e434ca0b638d5513b38e98d64f","Ссылка")</f>
        <v>Ссылка</v>
      </c>
      <c r="F285" s="9" t="s">
        <v>407</v>
      </c>
      <c r="G285" s="10" t="s">
        <v>51</v>
      </c>
      <c r="H285" s="11">
        <v>33000</v>
      </c>
      <c r="I285" s="13" t="s">
        <v>26</v>
      </c>
    </row>
    <row r="286" spans="1:9" s="8" customFormat="1" ht="18" customHeight="1" outlineLevel="1" x14ac:dyDescent="0.2">
      <c r="A286" s="9" t="s">
        <v>405</v>
      </c>
      <c r="B286" s="9" t="s">
        <v>28</v>
      </c>
      <c r="C286" s="9" t="s">
        <v>406</v>
      </c>
      <c r="D286" s="525" t="str">
        <f>HYPERLINK("https://cloud.mail.ru/public/p1oY/inuwrr8Bt","Ссылка")</f>
        <v>Ссылка</v>
      </c>
      <c r="E286" s="528" t="str">
        <f>HYPERLINK("https://adv-map.ru/place/?LINK=85c85e9ceca81af903bf26fbb9e4cf3e","Ссылка")</f>
        <v>Ссылка</v>
      </c>
      <c r="F286" s="9" t="s">
        <v>407</v>
      </c>
      <c r="G286" s="10" t="s">
        <v>51</v>
      </c>
      <c r="H286" s="11">
        <v>33000</v>
      </c>
      <c r="I286" s="12"/>
    </row>
    <row r="287" spans="1:9" s="8" customFormat="1" ht="18" customHeight="1" outlineLevel="1" x14ac:dyDescent="0.2">
      <c r="A287" s="9" t="s">
        <v>405</v>
      </c>
      <c r="B287" s="9" t="s">
        <v>17</v>
      </c>
      <c r="C287" s="9" t="s">
        <v>406</v>
      </c>
      <c r="D287" s="529" t="str">
        <f>HYPERLINK("https://cloud.mail.ru/public/QnA4/n4La3rw2C","Ссылка")</f>
        <v>Ссылка</v>
      </c>
      <c r="E287" s="530" t="str">
        <f>HYPERLINK("https://adv-map.ru/place/?LINK=d8a62211059d453b1edc2fc869c174d4","Ссылка")</f>
        <v>Ссылка</v>
      </c>
      <c r="F287" s="9" t="s">
        <v>407</v>
      </c>
      <c r="G287" s="10" t="s">
        <v>16</v>
      </c>
      <c r="H287" s="11">
        <v>33000</v>
      </c>
      <c r="I287" s="13" t="s">
        <v>26</v>
      </c>
    </row>
    <row r="288" spans="1:9" s="8" customFormat="1" ht="18" customHeight="1" outlineLevel="1" x14ac:dyDescent="0.2">
      <c r="A288" s="9" t="s">
        <v>408</v>
      </c>
      <c r="B288" s="9" t="s">
        <v>13</v>
      </c>
      <c r="C288" s="9" t="s">
        <v>409</v>
      </c>
      <c r="D288" s="531" t="str">
        <f>HYPERLINK("https://cloud.mail.ru/public/fLdR/uZJcPvAwF","Ссылка")</f>
        <v>Ссылка</v>
      </c>
      <c r="E288" s="532" t="str">
        <f>HYPERLINK("https://adv-map.ru/place/?LINK=f54899982c6800174581753cb2f09351","Ссылка")</f>
        <v>Ссылка</v>
      </c>
      <c r="F288" s="9" t="s">
        <v>410</v>
      </c>
      <c r="G288" s="10" t="s">
        <v>16</v>
      </c>
      <c r="H288" s="11">
        <v>29000</v>
      </c>
      <c r="I288" s="13" t="s">
        <v>26</v>
      </c>
    </row>
    <row r="289" spans="1:9" s="8" customFormat="1" ht="18" customHeight="1" outlineLevel="1" x14ac:dyDescent="0.2">
      <c r="A289" s="9" t="s">
        <v>408</v>
      </c>
      <c r="B289" s="9" t="s">
        <v>17</v>
      </c>
      <c r="C289" s="9" t="s">
        <v>409</v>
      </c>
      <c r="D289" s="533" t="str">
        <f>HYPERLINK("https://cloud.mail.ru/public/jH1g/YYUvCm5HH","Ссылка")</f>
        <v>Ссылка</v>
      </c>
      <c r="E289" s="534" t="str">
        <f>HYPERLINK("https://adv-map.ru/place/?LINK=37cc2ad88959d0754d385863a9443294","Ссылка")</f>
        <v>Ссылка</v>
      </c>
      <c r="F289" s="9" t="s">
        <v>410</v>
      </c>
      <c r="G289" s="10" t="s">
        <v>16</v>
      </c>
      <c r="H289" s="11">
        <v>29000</v>
      </c>
      <c r="I289" s="13" t="s">
        <v>26</v>
      </c>
    </row>
    <row r="290" spans="1:9" s="8" customFormat="1" ht="18" customHeight="1" outlineLevel="1" x14ac:dyDescent="0.2">
      <c r="A290" s="9" t="s">
        <v>411</v>
      </c>
      <c r="B290" s="9" t="s">
        <v>13</v>
      </c>
      <c r="C290" s="9" t="s">
        <v>412</v>
      </c>
      <c r="D290" s="535" t="str">
        <f>HYPERLINK("https://cloud.mail.ru/public/xZfq/sxq8xk9cJ","Ссылка")</f>
        <v>Ссылка</v>
      </c>
      <c r="E290" s="536" t="str">
        <f>HYPERLINK("https://adv-map.ru/place/?LINK=3c580eb911562c89985337a49cd3613a","Ссылка")</f>
        <v>Ссылка</v>
      </c>
      <c r="F290" s="9" t="s">
        <v>413</v>
      </c>
      <c r="G290" s="10" t="s">
        <v>16</v>
      </c>
      <c r="H290" s="11">
        <v>31000</v>
      </c>
      <c r="I290" s="13" t="s">
        <v>47</v>
      </c>
    </row>
    <row r="291" spans="1:9" s="8" customFormat="1" ht="18" customHeight="1" outlineLevel="1" x14ac:dyDescent="0.2">
      <c r="A291" s="9" t="s">
        <v>411</v>
      </c>
      <c r="B291" s="9" t="s">
        <v>17</v>
      </c>
      <c r="C291" s="9" t="s">
        <v>412</v>
      </c>
      <c r="D291" s="537" t="str">
        <f>HYPERLINK("https://cloud.mail.ru/public/XfKe/NC8bG2R5W","Ссылка")</f>
        <v>Ссылка</v>
      </c>
      <c r="E291" s="538" t="str">
        <f>HYPERLINK("https://adv-map.ru/place/?LINK=2803bd1bbccfa129ccf36915cf8b6460","Ссылка")</f>
        <v>Ссылка</v>
      </c>
      <c r="F291" s="9" t="s">
        <v>413</v>
      </c>
      <c r="G291" s="10" t="s">
        <v>16</v>
      </c>
      <c r="H291" s="11">
        <v>27000</v>
      </c>
      <c r="I291" s="13" t="s">
        <v>26</v>
      </c>
    </row>
    <row r="292" spans="1:9" s="8" customFormat="1" ht="18" customHeight="1" outlineLevel="1" x14ac:dyDescent="0.2">
      <c r="A292" s="9" t="s">
        <v>414</v>
      </c>
      <c r="B292" s="9" t="s">
        <v>13</v>
      </c>
      <c r="C292" s="9" t="s">
        <v>415</v>
      </c>
      <c r="D292" s="539" t="str">
        <f>HYPERLINK("https://cloud.mail.ru/public/kfNZ/5f7LeWKnp","Ссылка")</f>
        <v>Ссылка</v>
      </c>
      <c r="E292" s="540" t="str">
        <f>HYPERLINK("https://adv-map.ru/place/?LINK=57e5f02060de0f07479a23650cf659c5","Ссылка")</f>
        <v>Ссылка</v>
      </c>
      <c r="F292" s="9" t="s">
        <v>416</v>
      </c>
      <c r="G292" s="10" t="s">
        <v>16</v>
      </c>
      <c r="H292" s="11">
        <v>31000</v>
      </c>
      <c r="I292" s="12"/>
    </row>
    <row r="293" spans="1:9" s="8" customFormat="1" ht="18" customHeight="1" outlineLevel="1" x14ac:dyDescent="0.2">
      <c r="A293" s="9" t="s">
        <v>414</v>
      </c>
      <c r="B293" s="9" t="s">
        <v>17</v>
      </c>
      <c r="C293" s="9" t="s">
        <v>415</v>
      </c>
      <c r="D293" s="541" t="str">
        <f>HYPERLINK("https://cloud.mail.ru/public/9HEK/dyGYbXEWw","Ссылка")</f>
        <v>Ссылка</v>
      </c>
      <c r="E293" s="542" t="str">
        <f>HYPERLINK("https://adv-map.ru/place/?LINK=0c82cd754e94f9b911220cda9d4d6016","Ссылка")</f>
        <v>Ссылка</v>
      </c>
      <c r="F293" s="9" t="s">
        <v>416</v>
      </c>
      <c r="G293" s="10" t="s">
        <v>16</v>
      </c>
      <c r="H293" s="11">
        <v>25000</v>
      </c>
      <c r="I293" s="12"/>
    </row>
    <row r="294" spans="1:9" s="8" customFormat="1" ht="18" customHeight="1" outlineLevel="1" x14ac:dyDescent="0.2">
      <c r="A294" s="9" t="s">
        <v>417</v>
      </c>
      <c r="B294" s="9" t="s">
        <v>13</v>
      </c>
      <c r="C294" s="9" t="s">
        <v>418</v>
      </c>
      <c r="D294" s="543" t="str">
        <f>HYPERLINK("https://cloud.mail.ru/public/1jx2/ipPxb8Kqu","Ссылка")</f>
        <v>Ссылка</v>
      </c>
      <c r="E294" s="544" t="str">
        <f>HYPERLINK("https://adv-map.ru/place/?LINK=f3aa03e60e06bf74f8b85e86ddc9eb90","Ссылка")</f>
        <v>Ссылка</v>
      </c>
      <c r="F294" s="9" t="s">
        <v>419</v>
      </c>
      <c r="G294" s="10" t="s">
        <v>16</v>
      </c>
      <c r="H294" s="11">
        <v>31000</v>
      </c>
      <c r="I294" s="13" t="s">
        <v>404</v>
      </c>
    </row>
    <row r="295" spans="1:9" s="8" customFormat="1" ht="18" customHeight="1" outlineLevel="1" x14ac:dyDescent="0.2">
      <c r="A295" s="9" t="s">
        <v>417</v>
      </c>
      <c r="B295" s="9" t="s">
        <v>17</v>
      </c>
      <c r="C295" s="9" t="s">
        <v>418</v>
      </c>
      <c r="D295" s="545" t="str">
        <f>HYPERLINK("https://cloud.mail.ru/public/sMbP/Rku9HmB6J","Ссылка")</f>
        <v>Ссылка</v>
      </c>
      <c r="E295" s="546" t="str">
        <f>HYPERLINK("https://adv-map.ru/place/?LINK=7f68e40d32832dab91c4d795535a89fd","Ссылка")</f>
        <v>Ссылка</v>
      </c>
      <c r="F295" s="9" t="s">
        <v>419</v>
      </c>
      <c r="G295" s="10" t="s">
        <v>16</v>
      </c>
      <c r="H295" s="11">
        <v>25000</v>
      </c>
      <c r="I295" s="12"/>
    </row>
    <row r="296" spans="1:9" s="8" customFormat="1" ht="18" customHeight="1" outlineLevel="1" x14ac:dyDescent="0.2">
      <c r="A296" s="9" t="s">
        <v>420</v>
      </c>
      <c r="B296" s="9" t="s">
        <v>13</v>
      </c>
      <c r="C296" s="9" t="s">
        <v>421</v>
      </c>
      <c r="D296" s="547" t="str">
        <f>HYPERLINK("https://cloud.mail.ru/public/FMmB/GxnWZMWUY","Ссылка")</f>
        <v>Ссылка</v>
      </c>
      <c r="E296" s="548" t="str">
        <f>HYPERLINK("https://adv-map.ru/place/?LINK=fc3705a6c816ac30b0af631ffab1b6bb","Ссылка")</f>
        <v>Ссылка</v>
      </c>
      <c r="F296" s="9" t="s">
        <v>422</v>
      </c>
      <c r="G296" s="10" t="s">
        <v>16</v>
      </c>
      <c r="H296" s="11">
        <v>33000</v>
      </c>
      <c r="I296" s="13" t="s">
        <v>26</v>
      </c>
    </row>
    <row r="297" spans="1:9" s="8" customFormat="1" ht="18" customHeight="1" outlineLevel="1" x14ac:dyDescent="0.2">
      <c r="A297" s="9" t="s">
        <v>420</v>
      </c>
      <c r="B297" s="9" t="s">
        <v>17</v>
      </c>
      <c r="C297" s="9" t="s">
        <v>421</v>
      </c>
      <c r="D297" s="549" t="str">
        <f>HYPERLINK("https://cloud.mail.ru/public/nPFv/XwKHTTcSk","Ссылка")</f>
        <v>Ссылка</v>
      </c>
      <c r="E297" s="550" t="str">
        <f>HYPERLINK("https://adv-map.ru/place/?LINK=01e09bdae16e520935704b3f0b2444ec","Ссылка")</f>
        <v>Ссылка</v>
      </c>
      <c r="F297" s="9" t="s">
        <v>422</v>
      </c>
      <c r="G297" s="10" t="s">
        <v>16</v>
      </c>
      <c r="H297" s="11">
        <v>25000</v>
      </c>
      <c r="I297" s="12"/>
    </row>
    <row r="298" spans="1:9" s="8" customFormat="1" ht="18" customHeight="1" outlineLevel="1" x14ac:dyDescent="0.2">
      <c r="A298" s="9" t="s">
        <v>423</v>
      </c>
      <c r="B298" s="9" t="s">
        <v>13</v>
      </c>
      <c r="C298" s="9" t="s">
        <v>424</v>
      </c>
      <c r="D298" s="551" t="str">
        <f>HYPERLINK("https://cloud.mail.ru/public/5tte/GXQ53BfZe","Ссылка")</f>
        <v>Ссылка</v>
      </c>
      <c r="E298" s="552" t="str">
        <f>HYPERLINK("https://adv-map.ru/place/?LINK=b18cdfafe6253e657e966b6a8111ccb4","Ссылка")</f>
        <v>Ссылка</v>
      </c>
      <c r="F298" s="9" t="s">
        <v>425</v>
      </c>
      <c r="G298" s="10" t="s">
        <v>16</v>
      </c>
      <c r="H298" s="11">
        <v>31000</v>
      </c>
      <c r="I298" s="12"/>
    </row>
    <row r="299" spans="1:9" s="8" customFormat="1" ht="18" customHeight="1" outlineLevel="1" x14ac:dyDescent="0.2">
      <c r="A299" s="9" t="s">
        <v>423</v>
      </c>
      <c r="B299" s="9" t="s">
        <v>17</v>
      </c>
      <c r="C299" s="9" t="s">
        <v>424</v>
      </c>
      <c r="D299" s="553" t="str">
        <f>HYPERLINK("https://cloud.mail.ru/public/oGWS/fDjLBvwdG","Ссылка")</f>
        <v>Ссылка</v>
      </c>
      <c r="E299" s="554" t="str">
        <f>HYPERLINK("https://adv-map.ru/place/?LINK=113ffd452adfb0a3f88b4db31c25548d","Ссылка")</f>
        <v>Ссылка</v>
      </c>
      <c r="F299" s="9" t="s">
        <v>425</v>
      </c>
      <c r="G299" s="10" t="s">
        <v>16</v>
      </c>
      <c r="H299" s="11">
        <v>31000</v>
      </c>
      <c r="I299" s="13" t="s">
        <v>26</v>
      </c>
    </row>
    <row r="300" spans="1:9" s="8" customFormat="1" ht="18" customHeight="1" outlineLevel="1" x14ac:dyDescent="0.2">
      <c r="A300" s="9" t="s">
        <v>426</v>
      </c>
      <c r="B300" s="9" t="s">
        <v>13</v>
      </c>
      <c r="C300" s="9" t="s">
        <v>427</v>
      </c>
      <c r="D300" s="555" t="str">
        <f>HYPERLINK("https://cloud.mail.ru/public/4tBD/wZhB9xwNj","Ссылка")</f>
        <v>Ссылка</v>
      </c>
      <c r="E300" s="556" t="str">
        <f>HYPERLINK("https://adv-map.ru/place/?LINK=a676a85e566c6a17a65e9c6af0e86b4e","Ссылка")</f>
        <v>Ссылка</v>
      </c>
      <c r="F300" s="9" t="s">
        <v>428</v>
      </c>
      <c r="G300" s="10" t="s">
        <v>16</v>
      </c>
      <c r="H300" s="11">
        <v>29000</v>
      </c>
      <c r="I300" s="12"/>
    </row>
    <row r="301" spans="1:9" s="8" customFormat="1" ht="18" customHeight="1" outlineLevel="1" x14ac:dyDescent="0.2">
      <c r="A301" s="9" t="s">
        <v>426</v>
      </c>
      <c r="B301" s="9" t="s">
        <v>17</v>
      </c>
      <c r="C301" s="9" t="s">
        <v>427</v>
      </c>
      <c r="D301" s="557" t="str">
        <f>HYPERLINK("https://cloud.mail.ru/public/n2Q8/GeKTNsp2w","Ссылка")</f>
        <v>Ссылка</v>
      </c>
      <c r="E301" s="558" t="str">
        <f>HYPERLINK("https://adv-map.ru/place/?LINK=74394d554c5e4c24edfff0e3b499d72f","Ссылка")</f>
        <v>Ссылка</v>
      </c>
      <c r="F301" s="9" t="s">
        <v>428</v>
      </c>
      <c r="G301" s="10" t="s">
        <v>16</v>
      </c>
      <c r="H301" s="11">
        <v>25000</v>
      </c>
      <c r="I301" s="12"/>
    </row>
    <row r="302" spans="1:9" s="8" customFormat="1" ht="18" customHeight="1" outlineLevel="1" x14ac:dyDescent="0.2">
      <c r="A302" s="9" t="s">
        <v>429</v>
      </c>
      <c r="B302" s="9" t="s">
        <v>13</v>
      </c>
      <c r="C302" s="9" t="s">
        <v>430</v>
      </c>
      <c r="D302" s="559" t="str">
        <f>HYPERLINK("https://cloud.mail.ru/public/d3pD/SuqjvC9ed","Ссылка")</f>
        <v>Ссылка</v>
      </c>
      <c r="E302" s="560" t="str">
        <f>HYPERLINK("https://adv-map.ru/place/?LINK=6dfc6423d54db61c21e17317c6b0be8a","Ссылка")</f>
        <v>Ссылка</v>
      </c>
      <c r="F302" s="9" t="s">
        <v>431</v>
      </c>
      <c r="G302" s="10" t="s">
        <v>16</v>
      </c>
      <c r="H302" s="11">
        <v>33000</v>
      </c>
      <c r="I302" s="13" t="s">
        <v>26</v>
      </c>
    </row>
    <row r="303" spans="1:9" s="8" customFormat="1" ht="18" customHeight="1" outlineLevel="1" x14ac:dyDescent="0.2">
      <c r="A303" s="9" t="s">
        <v>429</v>
      </c>
      <c r="B303" s="9" t="s">
        <v>17</v>
      </c>
      <c r="C303" s="9" t="s">
        <v>430</v>
      </c>
      <c r="D303" s="561" t="str">
        <f>HYPERLINK("https://cloud.mail.ru/public/YtZo/hbR5TgwQY","Ссылка")</f>
        <v>Ссылка</v>
      </c>
      <c r="E303" s="562" t="str">
        <f>HYPERLINK("https://adv-map.ru/place/?LINK=e5dad768bb3de7662b8e820d074f1abe","Ссылка")</f>
        <v>Ссылка</v>
      </c>
      <c r="F303" s="9" t="s">
        <v>431</v>
      </c>
      <c r="G303" s="10" t="s">
        <v>16</v>
      </c>
      <c r="H303" s="11">
        <v>29000</v>
      </c>
      <c r="I303" s="13" t="s">
        <v>26</v>
      </c>
    </row>
    <row r="304" spans="1:9" s="8" customFormat="1" ht="18" customHeight="1" outlineLevel="1" x14ac:dyDescent="0.2">
      <c r="A304" s="9" t="s">
        <v>432</v>
      </c>
      <c r="B304" s="9" t="s">
        <v>13</v>
      </c>
      <c r="C304" s="9" t="s">
        <v>433</v>
      </c>
      <c r="D304" s="563" t="str">
        <f>HYPERLINK("https://cloud.mail.ru/public/YzkS/X9zstVgVE","Ссылка")</f>
        <v>Ссылка</v>
      </c>
      <c r="E304" s="564" t="str">
        <f>HYPERLINK("https://adv-map.ru/place/?LINK=26cddd4b985310f51a54f24f112de9ca","Ссылка")</f>
        <v>Ссылка</v>
      </c>
      <c r="F304" s="9" t="s">
        <v>434</v>
      </c>
      <c r="G304" s="10" t="s">
        <v>16</v>
      </c>
      <c r="H304" s="11">
        <v>33000</v>
      </c>
      <c r="I304" s="13" t="s">
        <v>86</v>
      </c>
    </row>
    <row r="305" spans="1:9" s="8" customFormat="1" ht="18" customHeight="1" outlineLevel="1" x14ac:dyDescent="0.2">
      <c r="A305" s="9" t="s">
        <v>432</v>
      </c>
      <c r="B305" s="9" t="s">
        <v>17</v>
      </c>
      <c r="C305" s="9" t="s">
        <v>433</v>
      </c>
      <c r="D305" s="565" t="str">
        <f>HYPERLINK("https://cloud.mail.ru/public/Qp9q/MdQmc1DBN","Ссылка")</f>
        <v>Ссылка</v>
      </c>
      <c r="E305" s="566" t="str">
        <f>HYPERLINK("https://adv-map.ru/place/?LINK=16e364aa212d3677aedaafacbcb0bf4d","Ссылка")</f>
        <v>Ссылка</v>
      </c>
      <c r="F305" s="9" t="s">
        <v>434</v>
      </c>
      <c r="G305" s="10" t="s">
        <v>16</v>
      </c>
      <c r="H305" s="11">
        <v>27000</v>
      </c>
      <c r="I305" s="12"/>
    </row>
    <row r="306" spans="1:9" s="8" customFormat="1" ht="18" customHeight="1" outlineLevel="1" x14ac:dyDescent="0.2">
      <c r="A306" s="9" t="s">
        <v>435</v>
      </c>
      <c r="B306" s="9" t="s">
        <v>13</v>
      </c>
      <c r="C306" s="9" t="s">
        <v>436</v>
      </c>
      <c r="D306" s="567" t="str">
        <f>HYPERLINK("https://cloud.mail.ru/public/eqQ4/jjZGj7LNN","Ссылка")</f>
        <v>Ссылка</v>
      </c>
      <c r="E306" s="568" t="str">
        <f>HYPERLINK("https://adv-map.ru/place/?LINK=00e3560e5eb807b1f73115d53d6c0948","Ссылка")</f>
        <v>Ссылка</v>
      </c>
      <c r="F306" s="9" t="s">
        <v>437</v>
      </c>
      <c r="G306" s="10" t="s">
        <v>16</v>
      </c>
      <c r="H306" s="11">
        <v>31000</v>
      </c>
      <c r="I306" s="13" t="s">
        <v>26</v>
      </c>
    </row>
    <row r="307" spans="1:9" s="8" customFormat="1" ht="18" customHeight="1" outlineLevel="1" x14ac:dyDescent="0.2">
      <c r="A307" s="9" t="s">
        <v>435</v>
      </c>
      <c r="B307" s="9" t="s">
        <v>17</v>
      </c>
      <c r="C307" s="9" t="s">
        <v>436</v>
      </c>
      <c r="D307" s="569" t="str">
        <f>HYPERLINK("https://cloud.mail.ru/public/XUvj/g6MkVZsrj","Ссылка")</f>
        <v>Ссылка</v>
      </c>
      <c r="E307" s="570" t="str">
        <f>HYPERLINK("https://adv-map.ru/place/?LINK=9f68b9275e525dce67e7b547bb1db6b1","Ссылка")</f>
        <v>Ссылка</v>
      </c>
      <c r="F307" s="9" t="s">
        <v>437</v>
      </c>
      <c r="G307" s="10" t="s">
        <v>16</v>
      </c>
      <c r="H307" s="11">
        <v>25000</v>
      </c>
      <c r="I307" s="12"/>
    </row>
    <row r="308" spans="1:9" s="8" customFormat="1" ht="18" customHeight="1" outlineLevel="1" x14ac:dyDescent="0.2">
      <c r="A308" s="9" t="s">
        <v>438</v>
      </c>
      <c r="B308" s="9" t="s">
        <v>13</v>
      </c>
      <c r="C308" s="9" t="s">
        <v>439</v>
      </c>
      <c r="D308" s="571" t="str">
        <f>HYPERLINK("https://cloud.mail.ru/public/6H29/yfixDfkbZ","Ссылка")</f>
        <v>Ссылка</v>
      </c>
      <c r="E308" s="572" t="str">
        <f>HYPERLINK("https://adv-map.ru/place/?LINK=373d90f2d1ec5b184ef202fa198112dc","Ссылка")</f>
        <v>Ссылка</v>
      </c>
      <c r="F308" s="9" t="s">
        <v>440</v>
      </c>
      <c r="G308" s="10" t="s">
        <v>16</v>
      </c>
      <c r="H308" s="11">
        <v>29000</v>
      </c>
      <c r="I308" s="13" t="s">
        <v>26</v>
      </c>
    </row>
    <row r="309" spans="1:9" s="8" customFormat="1" ht="18" customHeight="1" outlineLevel="1" x14ac:dyDescent="0.2">
      <c r="A309" s="9" t="s">
        <v>438</v>
      </c>
      <c r="B309" s="9" t="s">
        <v>17</v>
      </c>
      <c r="C309" s="9" t="s">
        <v>439</v>
      </c>
      <c r="D309" s="573" t="str">
        <f>HYPERLINK("https://cloud.mail.ru/public/d4Ut/CzQ6vHLf3","Ссылка")</f>
        <v>Ссылка</v>
      </c>
      <c r="E309" s="574" t="str">
        <f>HYPERLINK("https://adv-map.ru/place/?LINK=3eb7e34bf94b890ed2e907b656de4b0f","Ссылка")</f>
        <v>Ссылка</v>
      </c>
      <c r="F309" s="9" t="s">
        <v>440</v>
      </c>
      <c r="G309" s="10" t="s">
        <v>16</v>
      </c>
      <c r="H309" s="11">
        <v>25000</v>
      </c>
      <c r="I309" s="12"/>
    </row>
    <row r="310" spans="1:9" s="8" customFormat="1" ht="18" customHeight="1" outlineLevel="1" x14ac:dyDescent="0.2">
      <c r="A310" s="9" t="s">
        <v>441</v>
      </c>
      <c r="B310" s="9" t="s">
        <v>22</v>
      </c>
      <c r="C310" s="9" t="s">
        <v>442</v>
      </c>
      <c r="D310" s="575" t="str">
        <f>HYPERLINK("https://cloud.mail.ru/public/nJjc/QkvWyLjLG","Ссылка")</f>
        <v>Ссылка</v>
      </c>
      <c r="E310" s="576" t="str">
        <f>HYPERLINK("https://adv-map.ru/place/?LINK=27552eff5d8cad2e1db708c2a608bb56","Ссылка")</f>
        <v>Ссылка</v>
      </c>
      <c r="F310" s="9" t="s">
        <v>443</v>
      </c>
      <c r="G310" s="10" t="s">
        <v>51</v>
      </c>
      <c r="H310" s="11">
        <v>31000</v>
      </c>
      <c r="I310" s="13" t="s">
        <v>26</v>
      </c>
    </row>
    <row r="311" spans="1:9" s="8" customFormat="1" ht="18" customHeight="1" outlineLevel="1" x14ac:dyDescent="0.2">
      <c r="A311" s="9" t="s">
        <v>441</v>
      </c>
      <c r="B311" s="9" t="s">
        <v>27</v>
      </c>
      <c r="C311" s="9" t="s">
        <v>442</v>
      </c>
      <c r="D311" s="575" t="str">
        <f>HYPERLINK("https://cloud.mail.ru/public/nJjc/QkvWyLjLG","Ссылка")</f>
        <v>Ссылка</v>
      </c>
      <c r="E311" s="577" t="str">
        <f>HYPERLINK("https://adv-map.ru/place/?LINK=d58283cbc5e2f3045e7562bd2b7989d1","Ссылка")</f>
        <v>Ссылка</v>
      </c>
      <c r="F311" s="9" t="s">
        <v>443</v>
      </c>
      <c r="G311" s="10" t="s">
        <v>51</v>
      </c>
      <c r="H311" s="11">
        <v>31000</v>
      </c>
      <c r="I311" s="12"/>
    </row>
    <row r="312" spans="1:9" s="8" customFormat="1" ht="18" customHeight="1" outlineLevel="1" x14ac:dyDescent="0.2">
      <c r="A312" s="9" t="s">
        <v>441</v>
      </c>
      <c r="B312" s="9" t="s">
        <v>28</v>
      </c>
      <c r="C312" s="9" t="s">
        <v>442</v>
      </c>
      <c r="D312" s="575" t="str">
        <f>HYPERLINK("https://cloud.mail.ru/public/nJjc/QkvWyLjLG","Ссылка")</f>
        <v>Ссылка</v>
      </c>
      <c r="E312" s="578" t="str">
        <f>HYPERLINK("https://adv-map.ru/place/?LINK=bac96a9da90cb46118c69e4a6201676b","Ссылка")</f>
        <v>Ссылка</v>
      </c>
      <c r="F312" s="9" t="s">
        <v>443</v>
      </c>
      <c r="G312" s="10" t="s">
        <v>51</v>
      </c>
      <c r="H312" s="11">
        <v>31000</v>
      </c>
      <c r="I312" s="12"/>
    </row>
    <row r="313" spans="1:9" s="8" customFormat="1" ht="18" customHeight="1" outlineLevel="1" x14ac:dyDescent="0.2">
      <c r="A313" s="9" t="s">
        <v>441</v>
      </c>
      <c r="B313" s="9" t="s">
        <v>17</v>
      </c>
      <c r="C313" s="9" t="s">
        <v>442</v>
      </c>
      <c r="D313" s="579" t="str">
        <f>HYPERLINK("https://cloud.mail.ru/public/keVi/9HTb8Ex6G","Ссылка")</f>
        <v>Ссылка</v>
      </c>
      <c r="E313" s="580" t="str">
        <f>HYPERLINK("https://adv-map.ru/place/?LINK=ce39f0cbab04ced36511605f2b39a787","Ссылка")</f>
        <v>Ссылка</v>
      </c>
      <c r="F313" s="9" t="s">
        <v>443</v>
      </c>
      <c r="G313" s="10" t="s">
        <v>16</v>
      </c>
      <c r="H313" s="11">
        <v>31000</v>
      </c>
      <c r="I313" s="13" t="s">
        <v>26</v>
      </c>
    </row>
    <row r="314" spans="1:9" s="8" customFormat="1" ht="18" customHeight="1" outlineLevel="1" x14ac:dyDescent="0.2">
      <c r="A314" s="9" t="s">
        <v>444</v>
      </c>
      <c r="B314" s="9" t="s">
        <v>13</v>
      </c>
      <c r="C314" s="9" t="s">
        <v>445</v>
      </c>
      <c r="D314" s="9"/>
      <c r="E314" s="581" t="str">
        <f>HYPERLINK("https://adv-map.ru/place/?LINK=5a6c44dd73a43c382e638b53a35906ee","Ссылка")</f>
        <v>Ссылка</v>
      </c>
      <c r="F314" s="9" t="s">
        <v>446</v>
      </c>
      <c r="G314" s="10" t="s">
        <v>16</v>
      </c>
      <c r="H314" s="11">
        <v>18000</v>
      </c>
      <c r="I314" s="12"/>
    </row>
    <row r="315" spans="1:9" s="8" customFormat="1" ht="18" customHeight="1" outlineLevel="1" x14ac:dyDescent="0.2">
      <c r="A315" s="9" t="s">
        <v>444</v>
      </c>
      <c r="B315" s="9" t="s">
        <v>17</v>
      </c>
      <c r="C315" s="9" t="s">
        <v>445</v>
      </c>
      <c r="D315" s="9"/>
      <c r="E315" s="582" t="str">
        <f>HYPERLINK("https://adv-map.ru/place/?LINK=a51f4e625d35c448ae98e3d84d475185","Ссылка")</f>
        <v>Ссылка</v>
      </c>
      <c r="F315" s="9" t="s">
        <v>446</v>
      </c>
      <c r="G315" s="10" t="s">
        <v>16</v>
      </c>
      <c r="H315" s="11">
        <v>18000</v>
      </c>
      <c r="I315" s="12"/>
    </row>
    <row r="316" spans="1:9" s="8" customFormat="1" ht="18" customHeight="1" outlineLevel="1" x14ac:dyDescent="0.2">
      <c r="A316" s="9" t="s">
        <v>447</v>
      </c>
      <c r="B316" s="9" t="s">
        <v>22</v>
      </c>
      <c r="C316" s="9" t="s">
        <v>448</v>
      </c>
      <c r="D316" s="583" t="str">
        <f>HYPERLINK("https://cloud.mail.ru/public/tDix/MPxk4BPEP","Ссылка")</f>
        <v>Ссылка</v>
      </c>
      <c r="E316" s="584" t="str">
        <f>HYPERLINK("https://adv-map.ru/place/?LINK=1419a896aa7b56f9c40106fbd883a2a4","Ссылка")</f>
        <v>Ссылка</v>
      </c>
      <c r="F316" s="9" t="s">
        <v>449</v>
      </c>
      <c r="G316" s="10" t="s">
        <v>51</v>
      </c>
      <c r="H316" s="11">
        <v>26500</v>
      </c>
      <c r="I316" s="13" t="s">
        <v>26</v>
      </c>
    </row>
    <row r="317" spans="1:9" s="8" customFormat="1" ht="18" customHeight="1" outlineLevel="1" x14ac:dyDescent="0.2">
      <c r="A317" s="9" t="s">
        <v>447</v>
      </c>
      <c r="B317" s="9" t="s">
        <v>27</v>
      </c>
      <c r="C317" s="9" t="s">
        <v>448</v>
      </c>
      <c r="D317" s="583" t="str">
        <f>HYPERLINK("https://cloud.mail.ru/public/tDix/MPxk4BPEP","Ссылка")</f>
        <v>Ссылка</v>
      </c>
      <c r="E317" s="585" t="str">
        <f>HYPERLINK("https://adv-map.ru/place/?LINK=2495a28d30548d59040471ace81ad158","Ссылка")</f>
        <v>Ссылка</v>
      </c>
      <c r="F317" s="9" t="s">
        <v>449</v>
      </c>
      <c r="G317" s="10" t="s">
        <v>51</v>
      </c>
      <c r="H317" s="11">
        <v>26500</v>
      </c>
      <c r="I317" s="12"/>
    </row>
    <row r="318" spans="1:9" s="8" customFormat="1" ht="18" customHeight="1" outlineLevel="1" x14ac:dyDescent="0.2">
      <c r="A318" s="9" t="s">
        <v>447</v>
      </c>
      <c r="B318" s="9" t="s">
        <v>28</v>
      </c>
      <c r="C318" s="9" t="s">
        <v>448</v>
      </c>
      <c r="D318" s="583" t="str">
        <f>HYPERLINK("https://cloud.mail.ru/public/tDix/MPxk4BPEP","Ссылка")</f>
        <v>Ссылка</v>
      </c>
      <c r="E318" s="586" t="str">
        <f>HYPERLINK("https://adv-map.ru/place/?LINK=c71bacfbd4bf861be2ed5a74b83747ae","Ссылка")</f>
        <v>Ссылка</v>
      </c>
      <c r="F318" s="9" t="s">
        <v>449</v>
      </c>
      <c r="G318" s="10" t="s">
        <v>51</v>
      </c>
      <c r="H318" s="11">
        <v>26500</v>
      </c>
      <c r="I318" s="12"/>
    </row>
    <row r="319" spans="1:9" s="8" customFormat="1" ht="18" customHeight="1" outlineLevel="1" x14ac:dyDescent="0.2">
      <c r="A319" s="9" t="s">
        <v>447</v>
      </c>
      <c r="B319" s="9" t="s">
        <v>17</v>
      </c>
      <c r="C319" s="9" t="s">
        <v>448</v>
      </c>
      <c r="D319" s="587" t="str">
        <f>HYPERLINK("https://cloud.mail.ru/public/EJJc/FjX3vaA2K","Ссылка")</f>
        <v>Ссылка</v>
      </c>
      <c r="E319" s="588" t="str">
        <f>HYPERLINK("https://adv-map.ru/place/?LINK=e7959b788c9a84422a97d6ca731ae7f6","Ссылка")</f>
        <v>Ссылка</v>
      </c>
      <c r="F319" s="9" t="s">
        <v>449</v>
      </c>
      <c r="G319" s="10" t="s">
        <v>16</v>
      </c>
      <c r="H319" s="11">
        <v>23000</v>
      </c>
      <c r="I319" s="12"/>
    </row>
    <row r="320" spans="1:9" s="8" customFormat="1" ht="18" customHeight="1" outlineLevel="1" x14ac:dyDescent="0.2">
      <c r="A320" s="9" t="s">
        <v>450</v>
      </c>
      <c r="B320" s="9" t="s">
        <v>13</v>
      </c>
      <c r="C320" s="9" t="s">
        <v>451</v>
      </c>
      <c r="D320" s="589" t="str">
        <f>HYPERLINK("https://cloud.mail.ru/public/vXVC/Ky2FAipB1","Ссылка")</f>
        <v>Ссылка</v>
      </c>
      <c r="E320" s="590" t="str">
        <f>HYPERLINK("https://adv-map.ru/place/?LINK=e357d261c38f4da762759c4420c4c4a1","Ссылка")</f>
        <v>Ссылка</v>
      </c>
      <c r="F320" s="9" t="s">
        <v>452</v>
      </c>
      <c r="G320" s="10" t="s">
        <v>16</v>
      </c>
      <c r="H320" s="11">
        <v>33000</v>
      </c>
      <c r="I320" s="13" t="s">
        <v>26</v>
      </c>
    </row>
    <row r="321" spans="1:9" s="8" customFormat="1" ht="18" customHeight="1" outlineLevel="1" x14ac:dyDescent="0.2">
      <c r="A321" s="9" t="s">
        <v>450</v>
      </c>
      <c r="B321" s="9" t="s">
        <v>17</v>
      </c>
      <c r="C321" s="9" t="s">
        <v>451</v>
      </c>
      <c r="D321" s="591" t="str">
        <f>HYPERLINK("https://cloud.mail.ru/public/xart/ZNrBwtbkE","Ссылка")</f>
        <v>Ссылка</v>
      </c>
      <c r="E321" s="592" t="str">
        <f>HYPERLINK("https://adv-map.ru/place/?LINK=9e598202ffddb7fb21f15e04c09a2e3c","Ссылка")</f>
        <v>Ссылка</v>
      </c>
      <c r="F321" s="9" t="s">
        <v>452</v>
      </c>
      <c r="G321" s="10" t="s">
        <v>16</v>
      </c>
      <c r="H321" s="11">
        <v>31000</v>
      </c>
      <c r="I321" s="12"/>
    </row>
    <row r="322" spans="1:9" s="8" customFormat="1" ht="18" customHeight="1" outlineLevel="1" x14ac:dyDescent="0.2">
      <c r="A322" s="9" t="s">
        <v>453</v>
      </c>
      <c r="B322" s="9" t="s">
        <v>13</v>
      </c>
      <c r="C322" s="9" t="s">
        <v>454</v>
      </c>
      <c r="D322" s="593" t="str">
        <f>HYPERLINK("https://cloud.mail.ru/public/4sZZ/gW73bgx4A","Ссылка")</f>
        <v>Ссылка</v>
      </c>
      <c r="E322" s="594" t="str">
        <f>HYPERLINK("https://adv-map.ru/place/?LINK=d6ea06ef455eb6b069376292c265f51f","Ссылка")</f>
        <v>Ссылка</v>
      </c>
      <c r="F322" s="9" t="s">
        <v>455</v>
      </c>
      <c r="G322" s="10" t="s">
        <v>16</v>
      </c>
      <c r="H322" s="11">
        <v>23000</v>
      </c>
      <c r="I322" s="12"/>
    </row>
    <row r="323" spans="1:9" s="8" customFormat="1" ht="18" customHeight="1" outlineLevel="1" x14ac:dyDescent="0.2">
      <c r="A323" s="9" t="s">
        <v>453</v>
      </c>
      <c r="B323" s="9" t="s">
        <v>17</v>
      </c>
      <c r="C323" s="9" t="s">
        <v>454</v>
      </c>
      <c r="D323" s="595" t="str">
        <f>HYPERLINK("https://cloud.mail.ru/public/fQhM/8oD5NJwf5","Ссылка")</f>
        <v>Ссылка</v>
      </c>
      <c r="E323" s="596" t="str">
        <f>HYPERLINK("https://adv-map.ru/place/?LINK=96f56e0f2c864bbad213a1e1cad260cb","Ссылка")</f>
        <v>Ссылка</v>
      </c>
      <c r="F323" s="9" t="s">
        <v>455</v>
      </c>
      <c r="G323" s="10" t="s">
        <v>16</v>
      </c>
      <c r="H323" s="11">
        <v>21000</v>
      </c>
      <c r="I323" s="12"/>
    </row>
    <row r="324" spans="1:9" s="8" customFormat="1" ht="18" customHeight="1" outlineLevel="1" x14ac:dyDescent="0.2">
      <c r="A324" s="9" t="s">
        <v>456</v>
      </c>
      <c r="B324" s="9" t="s">
        <v>13</v>
      </c>
      <c r="C324" s="9" t="s">
        <v>457</v>
      </c>
      <c r="D324" s="597" t="str">
        <f>HYPERLINK("https://cloud.mail.ru/public/Dbiv/zZCLVDNRm","Ссылка")</f>
        <v>Ссылка</v>
      </c>
      <c r="E324" s="598" t="str">
        <f>HYPERLINK("https://adv-map.ru/place/?LINK=d186c56b64bfeaf4c04a2ad2c9b1693f","Ссылка")</f>
        <v>Ссылка</v>
      </c>
      <c r="F324" s="9" t="s">
        <v>458</v>
      </c>
      <c r="G324" s="10" t="s">
        <v>16</v>
      </c>
      <c r="H324" s="11">
        <v>20000</v>
      </c>
      <c r="I324" s="12"/>
    </row>
    <row r="325" spans="1:9" s="8" customFormat="1" ht="18" customHeight="1" outlineLevel="1" x14ac:dyDescent="0.2">
      <c r="A325" s="9" t="s">
        <v>456</v>
      </c>
      <c r="B325" s="9" t="s">
        <v>17</v>
      </c>
      <c r="C325" s="9" t="s">
        <v>457</v>
      </c>
      <c r="D325" s="599" t="str">
        <f>HYPERLINK("https://cloud.mail.ru/public/QKHt/EfxPgD6sr","Ссылка")</f>
        <v>Ссылка</v>
      </c>
      <c r="E325" s="600" t="str">
        <f>HYPERLINK("https://adv-map.ru/place/?LINK=94207bc3949992fdf2b9eb3ff1e6d286","Ссылка")</f>
        <v>Ссылка</v>
      </c>
      <c r="F325" s="9" t="s">
        <v>458</v>
      </c>
      <c r="G325" s="10" t="s">
        <v>16</v>
      </c>
      <c r="H325" s="11">
        <v>20000</v>
      </c>
      <c r="I325" s="12"/>
    </row>
    <row r="326" spans="1:9" s="8" customFormat="1" ht="18" customHeight="1" outlineLevel="1" x14ac:dyDescent="0.2">
      <c r="A326" s="9" t="s">
        <v>459</v>
      </c>
      <c r="B326" s="9" t="s">
        <v>13</v>
      </c>
      <c r="C326" s="9" t="s">
        <v>460</v>
      </c>
      <c r="D326" s="601" t="str">
        <f>HYPERLINK("https://cloud.mail.ru/public/MDjG/JkB5amGvb","Ссылка")</f>
        <v>Ссылка</v>
      </c>
      <c r="E326" s="602" t="str">
        <f>HYPERLINK("https://adv-map.ru/place/?LINK=3fb2e13dcb2e7a153210db1353b06184","Ссылка")</f>
        <v>Ссылка</v>
      </c>
      <c r="F326" s="9" t="s">
        <v>461</v>
      </c>
      <c r="G326" s="10" t="s">
        <v>16</v>
      </c>
      <c r="H326" s="11">
        <v>29000</v>
      </c>
      <c r="I326" s="13" t="s">
        <v>26</v>
      </c>
    </row>
    <row r="327" spans="1:9" s="8" customFormat="1" ht="18" customHeight="1" outlineLevel="1" x14ac:dyDescent="0.2">
      <c r="A327" s="9" t="s">
        <v>459</v>
      </c>
      <c r="B327" s="9" t="s">
        <v>17</v>
      </c>
      <c r="C327" s="9" t="s">
        <v>460</v>
      </c>
      <c r="D327" s="603" t="str">
        <f>HYPERLINK("https://cloud.mail.ru/public/xSfv/csNgaCLQw","Ссылка")</f>
        <v>Ссылка</v>
      </c>
      <c r="E327" s="604" t="str">
        <f>HYPERLINK("https://adv-map.ru/place/?LINK=4ad56302b32f7c24cc4392eaa51386d0","Ссылка")</f>
        <v>Ссылка</v>
      </c>
      <c r="F327" s="9" t="s">
        <v>461</v>
      </c>
      <c r="G327" s="10" t="s">
        <v>16</v>
      </c>
      <c r="H327" s="11">
        <v>23000</v>
      </c>
      <c r="I327" s="12"/>
    </row>
    <row r="328" spans="1:9" s="8" customFormat="1" ht="18" customHeight="1" outlineLevel="1" x14ac:dyDescent="0.2">
      <c r="A328" s="9" t="s">
        <v>462</v>
      </c>
      <c r="B328" s="9" t="s">
        <v>17</v>
      </c>
      <c r="C328" s="9" t="s">
        <v>463</v>
      </c>
      <c r="D328" s="605" t="str">
        <f>HYPERLINK("https://cloud.mail.ru/public/n4hC/VyHxir9yd","Ссылка")</f>
        <v>Ссылка</v>
      </c>
      <c r="E328" s="606" t="str">
        <f>HYPERLINK("https://adv-map.ru/place/?LINK=bcfa391dc66c40ad11a4b906f3ecb980","Ссылка")</f>
        <v>Ссылка</v>
      </c>
      <c r="F328" s="9" t="s">
        <v>464</v>
      </c>
      <c r="G328" s="10" t="s">
        <v>16</v>
      </c>
      <c r="H328" s="11">
        <v>30000</v>
      </c>
      <c r="I328" s="13" t="s">
        <v>26</v>
      </c>
    </row>
    <row r="329" spans="1:9" s="8" customFormat="1" ht="18" customHeight="1" outlineLevel="1" x14ac:dyDescent="0.2">
      <c r="A329" s="9" t="s">
        <v>465</v>
      </c>
      <c r="B329" s="9" t="s">
        <v>13</v>
      </c>
      <c r="C329" s="9" t="s">
        <v>466</v>
      </c>
      <c r="D329" s="607" t="str">
        <f>HYPERLINK("https://cloud.mail.ru/public/ZxYm/2anz5EaGz","Ссылка")</f>
        <v>Ссылка</v>
      </c>
      <c r="E329" s="608" t="str">
        <f>HYPERLINK("https://adv-map.ru/place/?LINK=fc14c47560f3c4b60729ccdf7c199380","Ссылка")</f>
        <v>Ссылка</v>
      </c>
      <c r="F329" s="9" t="s">
        <v>467</v>
      </c>
      <c r="G329" s="10" t="s">
        <v>16</v>
      </c>
      <c r="H329" s="11">
        <v>29000</v>
      </c>
      <c r="I329" s="12"/>
    </row>
    <row r="330" spans="1:9" s="8" customFormat="1" ht="18" customHeight="1" outlineLevel="1" x14ac:dyDescent="0.2">
      <c r="A330" s="9" t="s">
        <v>465</v>
      </c>
      <c r="B330" s="9" t="s">
        <v>17</v>
      </c>
      <c r="C330" s="9" t="s">
        <v>466</v>
      </c>
      <c r="D330" s="609" t="str">
        <f>HYPERLINK("https://cloud.mail.ru/public/QCaf/cVWfT4rFz","Ссылка")</f>
        <v>Ссылка</v>
      </c>
      <c r="E330" s="610" t="str">
        <f>HYPERLINK("https://adv-map.ru/place/?LINK=61a6568371faed28e6dd2daedc17ddca","Ссылка")</f>
        <v>Ссылка</v>
      </c>
      <c r="F330" s="9" t="s">
        <v>467</v>
      </c>
      <c r="G330" s="10" t="s">
        <v>16</v>
      </c>
      <c r="H330" s="11">
        <v>27000</v>
      </c>
      <c r="I330" s="12"/>
    </row>
    <row r="331" spans="1:9" s="8" customFormat="1" ht="18" customHeight="1" outlineLevel="1" x14ac:dyDescent="0.2">
      <c r="A331" s="9" t="s">
        <v>468</v>
      </c>
      <c r="B331" s="9" t="s">
        <v>13</v>
      </c>
      <c r="C331" s="9" t="s">
        <v>469</v>
      </c>
      <c r="D331" s="611" t="str">
        <f>HYPERLINK("https://cloud.mail.ru/public/Zhsp/Wom2RjPgJ","Ссылка")</f>
        <v>Ссылка</v>
      </c>
      <c r="E331" s="612" t="str">
        <f>HYPERLINK("https://adv-map.ru/place/?LINK=8d225f50c7e73c538d48440727c87270","Ссылка")</f>
        <v>Ссылка</v>
      </c>
      <c r="F331" s="9" t="s">
        <v>470</v>
      </c>
      <c r="G331" s="10" t="s">
        <v>16</v>
      </c>
      <c r="H331" s="11">
        <v>23000</v>
      </c>
      <c r="I331" s="12"/>
    </row>
    <row r="332" spans="1:9" s="8" customFormat="1" ht="18" customHeight="1" outlineLevel="1" x14ac:dyDescent="0.2">
      <c r="A332" s="9" t="s">
        <v>468</v>
      </c>
      <c r="B332" s="9" t="s">
        <v>17</v>
      </c>
      <c r="C332" s="9" t="s">
        <v>469</v>
      </c>
      <c r="D332" s="613" t="str">
        <f>HYPERLINK("https://cloud.mail.ru/public/mKjR/1EGJtN8B8","Ссылка")</f>
        <v>Ссылка</v>
      </c>
      <c r="E332" s="614" t="str">
        <f>HYPERLINK("https://adv-map.ru/place/?LINK=870491a3e04e85c45ffc646ab3dc57fa","Ссылка")</f>
        <v>Ссылка</v>
      </c>
      <c r="F332" s="9" t="s">
        <v>470</v>
      </c>
      <c r="G332" s="10" t="s">
        <v>16</v>
      </c>
      <c r="H332" s="11">
        <v>23000</v>
      </c>
      <c r="I332" s="12"/>
    </row>
    <row r="333" spans="1:9" s="8" customFormat="1" ht="18" customHeight="1" outlineLevel="1" x14ac:dyDescent="0.2">
      <c r="A333" s="9" t="s">
        <v>471</v>
      </c>
      <c r="B333" s="9" t="s">
        <v>13</v>
      </c>
      <c r="C333" s="9" t="s">
        <v>472</v>
      </c>
      <c r="D333" s="615" t="str">
        <f>HYPERLINK("https://cloud.mail.ru/public/RFTz/4AiHB5DJT","Ссылка")</f>
        <v>Ссылка</v>
      </c>
      <c r="E333" s="616" t="str">
        <f>HYPERLINK("https://adv-map.ru/place/?LINK=c1047e00eed47de71370736218195031","Ссылка")</f>
        <v>Ссылка</v>
      </c>
      <c r="F333" s="9" t="s">
        <v>473</v>
      </c>
      <c r="G333" s="10" t="s">
        <v>16</v>
      </c>
      <c r="H333" s="11">
        <v>33000</v>
      </c>
      <c r="I333" s="13" t="s">
        <v>26</v>
      </c>
    </row>
    <row r="334" spans="1:9" s="8" customFormat="1" ht="18" customHeight="1" outlineLevel="1" x14ac:dyDescent="0.2">
      <c r="A334" s="9" t="s">
        <v>471</v>
      </c>
      <c r="B334" s="9" t="s">
        <v>17</v>
      </c>
      <c r="C334" s="9" t="s">
        <v>472</v>
      </c>
      <c r="D334" s="617" t="str">
        <f>HYPERLINK("https://cloud.mail.ru/public/n78h/39JSShcLj","Ссылка")</f>
        <v>Ссылка</v>
      </c>
      <c r="E334" s="618" t="str">
        <f>HYPERLINK("https://adv-map.ru/place/?LINK=fe80e1a966e474efba7a0af5978dd16c","Ссылка")</f>
        <v>Ссылка</v>
      </c>
      <c r="F334" s="9" t="s">
        <v>473</v>
      </c>
      <c r="G334" s="10" t="s">
        <v>16</v>
      </c>
      <c r="H334" s="11">
        <v>33000</v>
      </c>
      <c r="I334" s="13" t="s">
        <v>26</v>
      </c>
    </row>
    <row r="335" spans="1:9" s="8" customFormat="1" ht="18" customHeight="1" outlineLevel="1" x14ac:dyDescent="0.2">
      <c r="A335" s="9" t="s">
        <v>474</v>
      </c>
      <c r="B335" s="9" t="s">
        <v>13</v>
      </c>
      <c r="C335" s="9" t="s">
        <v>475</v>
      </c>
      <c r="D335" s="619" t="str">
        <f>HYPERLINK("https://cloud.mail.ru/public/cvAu/tTtPcND1q","Ссылка")</f>
        <v>Ссылка</v>
      </c>
      <c r="E335" s="620" t="str">
        <f>HYPERLINK("https://adv-map.ru/place/?LINK=fd298c0552200d9548ab0b77989b2e29","Ссылка")</f>
        <v>Ссылка</v>
      </c>
      <c r="F335" s="9" t="s">
        <v>476</v>
      </c>
      <c r="G335" s="10" t="s">
        <v>16</v>
      </c>
      <c r="H335" s="9"/>
      <c r="I335" s="12"/>
    </row>
    <row r="336" spans="1:9" s="8" customFormat="1" ht="18" customHeight="1" outlineLevel="1" x14ac:dyDescent="0.2">
      <c r="A336" s="9" t="s">
        <v>474</v>
      </c>
      <c r="B336" s="9" t="s">
        <v>17</v>
      </c>
      <c r="C336" s="9" t="s">
        <v>475</v>
      </c>
      <c r="D336" s="621" t="str">
        <f>HYPERLINK("https://cloud.mail.ru/public/MKYC/WARhVx19U","Ссылка")</f>
        <v>Ссылка</v>
      </c>
      <c r="E336" s="622" t="str">
        <f>HYPERLINK("https://adv-map.ru/place/?LINK=0d255118981fb240a1b2ff2207cc0a65","Ссылка")</f>
        <v>Ссылка</v>
      </c>
      <c r="F336" s="9" t="s">
        <v>476</v>
      </c>
      <c r="G336" s="10" t="s">
        <v>16</v>
      </c>
      <c r="H336" s="11">
        <v>23000</v>
      </c>
      <c r="I336" s="13" t="s">
        <v>26</v>
      </c>
    </row>
    <row r="337" spans="1:9" s="8" customFormat="1" ht="18" customHeight="1" outlineLevel="1" x14ac:dyDescent="0.2">
      <c r="A337" s="9" t="s">
        <v>477</v>
      </c>
      <c r="B337" s="9" t="s">
        <v>13</v>
      </c>
      <c r="C337" s="9" t="s">
        <v>478</v>
      </c>
      <c r="D337" s="623" t="str">
        <f>HYPERLINK("https://cloud.mail.ru/public/mBkT/gPZoFCUxz","Ссылка")</f>
        <v>Ссылка</v>
      </c>
      <c r="E337" s="624" t="str">
        <f>HYPERLINK("https://adv-map.ru/place/?LINK=91dee1a067bf04718320226fcbc4657c","Ссылка")</f>
        <v>Ссылка</v>
      </c>
      <c r="F337" s="9" t="s">
        <v>317</v>
      </c>
      <c r="G337" s="10" t="s">
        <v>16</v>
      </c>
      <c r="H337" s="11">
        <v>31000</v>
      </c>
      <c r="I337" s="13" t="s">
        <v>26</v>
      </c>
    </row>
    <row r="338" spans="1:9" s="8" customFormat="1" ht="18" customHeight="1" outlineLevel="1" x14ac:dyDescent="0.2">
      <c r="A338" s="9" t="s">
        <v>477</v>
      </c>
      <c r="B338" s="9" t="s">
        <v>17</v>
      </c>
      <c r="C338" s="9" t="s">
        <v>478</v>
      </c>
      <c r="D338" s="625" t="str">
        <f>HYPERLINK("https://cloud.mail.ru/public/93m2/jPxM7cmCK","Ссылка")</f>
        <v>Ссылка</v>
      </c>
      <c r="E338" s="626" t="str">
        <f>HYPERLINK("https://adv-map.ru/place/?LINK=aa8fe1c3430e7bda0aaf4b06e2736a1b","Ссылка")</f>
        <v>Ссылка</v>
      </c>
      <c r="F338" s="9" t="s">
        <v>317</v>
      </c>
      <c r="G338" s="10" t="s">
        <v>16</v>
      </c>
      <c r="H338" s="11">
        <v>27000</v>
      </c>
      <c r="I338" s="12"/>
    </row>
    <row r="339" spans="1:9" s="8" customFormat="1" ht="18" customHeight="1" outlineLevel="1" x14ac:dyDescent="0.2">
      <c r="A339" s="9" t="s">
        <v>479</v>
      </c>
      <c r="B339" s="9" t="s">
        <v>13</v>
      </c>
      <c r="C339" s="9" t="s">
        <v>480</v>
      </c>
      <c r="D339" s="627" t="str">
        <f>HYPERLINK("https://cloud.mail.ru/public/Aynk/nF3UWePgb","Ссылка")</f>
        <v>Ссылка</v>
      </c>
      <c r="E339" s="9"/>
      <c r="F339" s="9"/>
      <c r="G339" s="10" t="s">
        <v>16</v>
      </c>
      <c r="H339" s="11">
        <v>33000</v>
      </c>
      <c r="I339" s="13" t="s">
        <v>26</v>
      </c>
    </row>
    <row r="340" spans="1:9" s="8" customFormat="1" ht="18" customHeight="1" outlineLevel="1" x14ac:dyDescent="0.2">
      <c r="A340" s="9" t="s">
        <v>479</v>
      </c>
      <c r="B340" s="9" t="s">
        <v>17</v>
      </c>
      <c r="C340" s="9" t="s">
        <v>480</v>
      </c>
      <c r="D340" s="628" t="str">
        <f>HYPERLINK("https://cloud.mail.ru/public/SGMe/c2UPg8m4d","Ссылка")</f>
        <v>Ссылка</v>
      </c>
      <c r="E340" s="9"/>
      <c r="F340" s="9"/>
      <c r="G340" s="10" t="s">
        <v>16</v>
      </c>
      <c r="H340" s="11">
        <v>33000</v>
      </c>
      <c r="I340" s="13" t="s">
        <v>26</v>
      </c>
    </row>
    <row r="341" spans="1:9" s="8" customFormat="1" ht="18" customHeight="1" outlineLevel="1" x14ac:dyDescent="0.2">
      <c r="A341" s="9" t="s">
        <v>481</v>
      </c>
      <c r="B341" s="9" t="s">
        <v>13</v>
      </c>
      <c r="C341" s="9" t="s">
        <v>482</v>
      </c>
      <c r="D341" s="629" t="str">
        <f>HYPERLINK("https://cloud.mail.ru/public/x2ro/99NsVc4my","Ссылка")</f>
        <v>Ссылка</v>
      </c>
      <c r="E341" s="630" t="str">
        <f>HYPERLINK("https://adv-map.ru/place/?LINK=d5de211bf08fe62f3ace1fb767abba60","Ссылка")</f>
        <v>Ссылка</v>
      </c>
      <c r="F341" s="9" t="s">
        <v>483</v>
      </c>
      <c r="G341" s="10" t="s">
        <v>16</v>
      </c>
      <c r="H341" s="11">
        <v>33000</v>
      </c>
      <c r="I341" s="13" t="s">
        <v>26</v>
      </c>
    </row>
    <row r="342" spans="1:9" s="8" customFormat="1" ht="18" customHeight="1" outlineLevel="1" x14ac:dyDescent="0.2">
      <c r="A342" s="9" t="s">
        <v>481</v>
      </c>
      <c r="B342" s="9" t="s">
        <v>17</v>
      </c>
      <c r="C342" s="9" t="s">
        <v>482</v>
      </c>
      <c r="D342" s="631" t="str">
        <f>HYPERLINK("https://cloud.mail.ru/public/JnAf/WbfhZByxD","Ссылка")</f>
        <v>Ссылка</v>
      </c>
      <c r="E342" s="632" t="str">
        <f>HYPERLINK("https://adv-map.ru/place/?LINK=5eabd8766cdd2c82a4ed4e32006db6dc","Ссылка")</f>
        <v>Ссылка</v>
      </c>
      <c r="F342" s="9" t="s">
        <v>483</v>
      </c>
      <c r="G342" s="10" t="s">
        <v>16</v>
      </c>
      <c r="H342" s="11">
        <v>25000</v>
      </c>
      <c r="I342" s="12"/>
    </row>
    <row r="343" spans="1:9" s="8" customFormat="1" ht="18" customHeight="1" outlineLevel="1" x14ac:dyDescent="0.2">
      <c r="A343" s="9" t="s">
        <v>484</v>
      </c>
      <c r="B343" s="9" t="s">
        <v>13</v>
      </c>
      <c r="C343" s="9" t="s">
        <v>485</v>
      </c>
      <c r="D343" s="633" t="str">
        <f>HYPERLINK("https://cloud.mail.ru/public/bCm3/vmSCYfAtz","Ссылка")</f>
        <v>Ссылка</v>
      </c>
      <c r="E343" s="634" t="str">
        <f>HYPERLINK("https://adv-map.ru/place/?LINK=af47dda9f366a0d2d229b37b67fbcd06","Ссылка")</f>
        <v>Ссылка</v>
      </c>
      <c r="F343" s="9" t="s">
        <v>486</v>
      </c>
      <c r="G343" s="10" t="s">
        <v>16</v>
      </c>
      <c r="H343" s="11">
        <v>33000</v>
      </c>
      <c r="I343" s="13" t="s">
        <v>26</v>
      </c>
    </row>
    <row r="344" spans="1:9" s="8" customFormat="1" ht="18" customHeight="1" outlineLevel="1" x14ac:dyDescent="0.2">
      <c r="A344" s="9" t="s">
        <v>484</v>
      </c>
      <c r="B344" s="9" t="s">
        <v>17</v>
      </c>
      <c r="C344" s="9" t="s">
        <v>485</v>
      </c>
      <c r="D344" s="635" t="str">
        <f>HYPERLINK("https://cloud.mail.ru/public/9dzv/hnw8S9KPv","Ссылка")</f>
        <v>Ссылка</v>
      </c>
      <c r="E344" s="636" t="str">
        <f>HYPERLINK("https://adv-map.ru/place/?LINK=5de9451d1b5b179ed80e2d1ff04e68de","Ссылка")</f>
        <v>Ссылка</v>
      </c>
      <c r="F344" s="9" t="s">
        <v>486</v>
      </c>
      <c r="G344" s="10" t="s">
        <v>16</v>
      </c>
      <c r="H344" s="11">
        <v>25000</v>
      </c>
      <c r="I344" s="12"/>
    </row>
    <row r="345" spans="1:9" s="8" customFormat="1" ht="18" customHeight="1" outlineLevel="1" x14ac:dyDescent="0.2">
      <c r="A345" s="9" t="s">
        <v>487</v>
      </c>
      <c r="B345" s="9" t="s">
        <v>13</v>
      </c>
      <c r="C345" s="9" t="s">
        <v>488</v>
      </c>
      <c r="D345" s="637" t="str">
        <f>HYPERLINK("https://cloud.mail.ru/public/SgG3/YzvB3F8hG","Ссылка")</f>
        <v>Ссылка</v>
      </c>
      <c r="E345" s="638" t="str">
        <f>HYPERLINK("https://adv-map.ru/place/?LINK=6125aa48b909e2fd855bb226ab660e7e","Ссылка")</f>
        <v>Ссылка</v>
      </c>
      <c r="F345" s="9" t="s">
        <v>489</v>
      </c>
      <c r="G345" s="10" t="s">
        <v>16</v>
      </c>
      <c r="H345" s="11">
        <v>31000</v>
      </c>
      <c r="I345" s="13" t="s">
        <v>86</v>
      </c>
    </row>
    <row r="346" spans="1:9" s="8" customFormat="1" ht="18" customHeight="1" outlineLevel="1" x14ac:dyDescent="0.2">
      <c r="A346" s="9" t="s">
        <v>487</v>
      </c>
      <c r="B346" s="9" t="s">
        <v>17</v>
      </c>
      <c r="C346" s="9" t="s">
        <v>488</v>
      </c>
      <c r="D346" s="639" t="str">
        <f>HYPERLINK("https://cloud.mail.ru/public/sbCE/EdyH2RKs5","Ссылка")</f>
        <v>Ссылка</v>
      </c>
      <c r="E346" s="640" t="str">
        <f>HYPERLINK("https://adv-map.ru/place/?LINK=c8e3a3657f544f24b144fa1031a1e7da","Ссылка")</f>
        <v>Ссылка</v>
      </c>
      <c r="F346" s="9" t="s">
        <v>489</v>
      </c>
      <c r="G346" s="10" t="s">
        <v>16</v>
      </c>
      <c r="H346" s="11">
        <v>25000</v>
      </c>
      <c r="I346" s="13" t="s">
        <v>26</v>
      </c>
    </row>
    <row r="347" spans="1:9" s="8" customFormat="1" ht="18" customHeight="1" outlineLevel="1" x14ac:dyDescent="0.2">
      <c r="A347" s="9" t="s">
        <v>490</v>
      </c>
      <c r="B347" s="9" t="s">
        <v>13</v>
      </c>
      <c r="C347" s="9" t="s">
        <v>491</v>
      </c>
      <c r="D347" s="641" t="str">
        <f>HYPERLINK("https://cloud.mail.ru/public/V6gM/A4BUWBJFD","Ссылка")</f>
        <v>Ссылка</v>
      </c>
      <c r="E347" s="642" t="str">
        <f>HYPERLINK("https://adv-map.ru/place/?LINK=40c2b86a2dbd4fe8411870f69ac1381f","Ссылка")</f>
        <v>Ссылка</v>
      </c>
      <c r="F347" s="9" t="s">
        <v>492</v>
      </c>
      <c r="G347" s="10" t="s">
        <v>16</v>
      </c>
      <c r="H347" s="11">
        <v>33000</v>
      </c>
      <c r="I347" s="13" t="s">
        <v>26</v>
      </c>
    </row>
    <row r="348" spans="1:9" s="8" customFormat="1" ht="18" customHeight="1" outlineLevel="1" x14ac:dyDescent="0.2">
      <c r="A348" s="9" t="s">
        <v>490</v>
      </c>
      <c r="B348" s="9" t="s">
        <v>17</v>
      </c>
      <c r="C348" s="9" t="s">
        <v>493</v>
      </c>
      <c r="D348" s="643" t="str">
        <f>HYPERLINK("https://cloud.mail.ru/public/GHJ6/UpRfQjTgA","Ссылка")</f>
        <v>Ссылка</v>
      </c>
      <c r="E348" s="644" t="str">
        <f>HYPERLINK("https://adv-map.ru/place/?LINK=6d98985deb9abbf8728565bc691ad657","Ссылка")</f>
        <v>Ссылка</v>
      </c>
      <c r="F348" s="9" t="s">
        <v>492</v>
      </c>
      <c r="G348" s="10" t="s">
        <v>16</v>
      </c>
      <c r="H348" s="11">
        <v>27000</v>
      </c>
      <c r="I348" s="13" t="s">
        <v>126</v>
      </c>
    </row>
    <row r="349" spans="1:9" s="8" customFormat="1" ht="18" customHeight="1" outlineLevel="1" x14ac:dyDescent="0.2">
      <c r="A349" s="9" t="s">
        <v>494</v>
      </c>
      <c r="B349" s="9" t="s">
        <v>13</v>
      </c>
      <c r="C349" s="9" t="s">
        <v>205</v>
      </c>
      <c r="D349" s="645" t="str">
        <f>HYPERLINK("https://cloud.mail.ru/public/FgxE/8ZhbdiJfo","Ссылка")</f>
        <v>Ссылка</v>
      </c>
      <c r="E349" s="646" t="str">
        <f>HYPERLINK("https://adv-map.ru/place/?LINK=64c275fc856a7e907aacc52ed845c149","Ссылка")</f>
        <v>Ссылка</v>
      </c>
      <c r="F349" s="9" t="s">
        <v>495</v>
      </c>
      <c r="G349" s="10" t="s">
        <v>16</v>
      </c>
      <c r="H349" s="11">
        <v>35000</v>
      </c>
      <c r="I349" s="13" t="s">
        <v>26</v>
      </c>
    </row>
    <row r="350" spans="1:9" s="8" customFormat="1" ht="18" customHeight="1" outlineLevel="1" x14ac:dyDescent="0.2">
      <c r="A350" s="9" t="s">
        <v>494</v>
      </c>
      <c r="B350" s="9" t="s">
        <v>17</v>
      </c>
      <c r="C350" s="9" t="s">
        <v>205</v>
      </c>
      <c r="D350" s="647" t="str">
        <f>HYPERLINK("https://cloud.mail.ru/public/zG2S/xnoJZ4yqp","Ссылка")</f>
        <v>Ссылка</v>
      </c>
      <c r="E350" s="648" t="str">
        <f>HYPERLINK("https://adv-map.ru/place/?LINK=a9842181b1f134233208f3647a8be935","Ссылка")</f>
        <v>Ссылка</v>
      </c>
      <c r="F350" s="9" t="s">
        <v>495</v>
      </c>
      <c r="G350" s="10" t="s">
        <v>16</v>
      </c>
      <c r="H350" s="11">
        <v>33000</v>
      </c>
      <c r="I350" s="13" t="s">
        <v>26</v>
      </c>
    </row>
    <row r="351" spans="1:9" s="8" customFormat="1" ht="18" customHeight="1" outlineLevel="1" x14ac:dyDescent="0.2">
      <c r="A351" s="9" t="s">
        <v>496</v>
      </c>
      <c r="B351" s="9" t="s">
        <v>13</v>
      </c>
      <c r="C351" s="9" t="s">
        <v>497</v>
      </c>
      <c r="D351" s="649" t="str">
        <f>HYPERLINK("https://cloud.mail.ru/public/XVmE/i8sGEuE6K","Ссылка")</f>
        <v>Ссылка</v>
      </c>
      <c r="E351" s="650" t="str">
        <f>HYPERLINK("https://adv-map.ru/place/?LINK=7ba3744e315e14224fe836108c8c32e4","Ссылка")</f>
        <v>Ссылка</v>
      </c>
      <c r="F351" s="9" t="s">
        <v>492</v>
      </c>
      <c r="G351" s="10" t="s">
        <v>16</v>
      </c>
      <c r="H351" s="11">
        <v>33000</v>
      </c>
      <c r="I351" s="13" t="s">
        <v>26</v>
      </c>
    </row>
    <row r="352" spans="1:9" s="8" customFormat="1" ht="18" customHeight="1" outlineLevel="1" x14ac:dyDescent="0.2">
      <c r="A352" s="9" t="s">
        <v>496</v>
      </c>
      <c r="B352" s="9" t="s">
        <v>17</v>
      </c>
      <c r="C352" s="9" t="s">
        <v>497</v>
      </c>
      <c r="D352" s="651" t="str">
        <f>HYPERLINK("https://cloud.mail.ru/public/drWv/DM4F4N4MF","Ссылка")</f>
        <v>Ссылка</v>
      </c>
      <c r="E352" s="652" t="str">
        <f>HYPERLINK("https://adv-map.ru/place/?LINK=13fd17373dc843280b09ac13fbda2271","Ссылка")</f>
        <v>Ссылка</v>
      </c>
      <c r="F352" s="9" t="s">
        <v>498</v>
      </c>
      <c r="G352" s="10" t="s">
        <v>16</v>
      </c>
      <c r="H352" s="11">
        <v>31000</v>
      </c>
      <c r="I352" s="13" t="s">
        <v>26</v>
      </c>
    </row>
    <row r="353" spans="1:9" s="8" customFormat="1" ht="18" customHeight="1" outlineLevel="1" x14ac:dyDescent="0.2">
      <c r="A353" s="9" t="s">
        <v>499</v>
      </c>
      <c r="B353" s="9" t="s">
        <v>13</v>
      </c>
      <c r="C353" s="9" t="s">
        <v>500</v>
      </c>
      <c r="D353" s="653" t="str">
        <f>HYPERLINK("https://cloud.mail.ru/public/sAey/rQPeXEDMK","Ссылка")</f>
        <v>Ссылка</v>
      </c>
      <c r="E353" s="654" t="str">
        <f>HYPERLINK("https://adv-map.ru/place/?LINK=c0cbb8d483ffa3879836fd2aafe6e90c","Ссылка")</f>
        <v>Ссылка</v>
      </c>
      <c r="F353" s="9" t="s">
        <v>501</v>
      </c>
      <c r="G353" s="10" t="s">
        <v>16</v>
      </c>
      <c r="H353" s="11">
        <v>33000</v>
      </c>
      <c r="I353" s="13" t="s">
        <v>26</v>
      </c>
    </row>
    <row r="354" spans="1:9" s="8" customFormat="1" ht="18" customHeight="1" outlineLevel="1" x14ac:dyDescent="0.2">
      <c r="A354" s="9" t="s">
        <v>499</v>
      </c>
      <c r="B354" s="9" t="s">
        <v>17</v>
      </c>
      <c r="C354" s="9" t="s">
        <v>500</v>
      </c>
      <c r="D354" s="655" t="str">
        <f>HYPERLINK("https://cloud.mail.ru/public/Vy5h/QiEen1LTB","Ссылка")</f>
        <v>Ссылка</v>
      </c>
      <c r="E354" s="656" t="str">
        <f>HYPERLINK("https://adv-map.ru/place/?LINK=9fdecf17b47c10eeccd6a2383e99dc62","Ссылка")</f>
        <v>Ссылка</v>
      </c>
      <c r="F354" s="9" t="s">
        <v>501</v>
      </c>
      <c r="G354" s="10" t="s">
        <v>16</v>
      </c>
      <c r="H354" s="11">
        <v>27000</v>
      </c>
      <c r="I354" s="13" t="s">
        <v>126</v>
      </c>
    </row>
    <row r="355" spans="1:9" s="8" customFormat="1" ht="18" customHeight="1" outlineLevel="1" x14ac:dyDescent="0.2">
      <c r="A355" s="9" t="s">
        <v>502</v>
      </c>
      <c r="B355" s="9" t="s">
        <v>22</v>
      </c>
      <c r="C355" s="9" t="s">
        <v>503</v>
      </c>
      <c r="D355" s="657" t="str">
        <f>HYPERLINK("https://cloud.mail.ru/public/xZHJ/ot4NnxU5Z","Ссылка")</f>
        <v>Ссылка</v>
      </c>
      <c r="E355" s="658" t="str">
        <f>HYPERLINK("https://adv-map.ru/place/?LINK=3295ae4b60538b32abcf9d25d8bc493b","Ссылка")</f>
        <v>Ссылка</v>
      </c>
      <c r="F355" s="9" t="s">
        <v>504</v>
      </c>
      <c r="G355" s="10" t="s">
        <v>51</v>
      </c>
      <c r="H355" s="11">
        <v>31000</v>
      </c>
      <c r="I355" s="13" t="s">
        <v>26</v>
      </c>
    </row>
    <row r="356" spans="1:9" s="8" customFormat="1" ht="18" customHeight="1" outlineLevel="1" x14ac:dyDescent="0.2">
      <c r="A356" s="9" t="s">
        <v>502</v>
      </c>
      <c r="B356" s="9" t="s">
        <v>27</v>
      </c>
      <c r="C356" s="9" t="s">
        <v>503</v>
      </c>
      <c r="D356" s="657" t="str">
        <f>HYPERLINK("https://cloud.mail.ru/public/xZHJ/ot4NnxU5Z","Ссылка")</f>
        <v>Ссылка</v>
      </c>
      <c r="E356" s="659" t="str">
        <f>HYPERLINK("https://adv-map.ru/place/?LINK=ff72964d70b427c8bf603816917cc05c","Ссылка")</f>
        <v>Ссылка</v>
      </c>
      <c r="F356" s="9" t="s">
        <v>504</v>
      </c>
      <c r="G356" s="10" t="s">
        <v>51</v>
      </c>
      <c r="H356" s="11">
        <v>31000</v>
      </c>
      <c r="I356" s="13" t="s">
        <v>26</v>
      </c>
    </row>
    <row r="357" spans="1:9" s="8" customFormat="1" ht="18" customHeight="1" outlineLevel="1" x14ac:dyDescent="0.2">
      <c r="A357" s="9" t="s">
        <v>502</v>
      </c>
      <c r="B357" s="9" t="s">
        <v>28</v>
      </c>
      <c r="C357" s="9" t="s">
        <v>503</v>
      </c>
      <c r="D357" s="657" t="str">
        <f>HYPERLINK("https://cloud.mail.ru/public/xZHJ/ot4NnxU5Z","Ссылка")</f>
        <v>Ссылка</v>
      </c>
      <c r="E357" s="660" t="str">
        <f>HYPERLINK("https://adv-map.ru/place/?LINK=b921876d83439e7fffa09470fa4427ac","Ссылка")</f>
        <v>Ссылка</v>
      </c>
      <c r="F357" s="9" t="s">
        <v>504</v>
      </c>
      <c r="G357" s="10" t="s">
        <v>51</v>
      </c>
      <c r="H357" s="11">
        <v>31000</v>
      </c>
      <c r="I357" s="13" t="s">
        <v>26</v>
      </c>
    </row>
    <row r="358" spans="1:9" s="8" customFormat="1" ht="18" customHeight="1" outlineLevel="1" x14ac:dyDescent="0.2">
      <c r="A358" s="9" t="s">
        <v>502</v>
      </c>
      <c r="B358" s="9" t="s">
        <v>17</v>
      </c>
      <c r="C358" s="9" t="s">
        <v>503</v>
      </c>
      <c r="D358" s="661" t="str">
        <f>HYPERLINK("https://cloud.mail.ru/public/jjJp/2xP1CLSdJ","Ссылка")</f>
        <v>Ссылка</v>
      </c>
      <c r="E358" s="662" t="str">
        <f>HYPERLINK("https://adv-map.ru/place/?LINK=c1f131993e8e71cd1b5465c2298dda39","Ссылка")</f>
        <v>Ссылка</v>
      </c>
      <c r="F358" s="9" t="s">
        <v>504</v>
      </c>
      <c r="G358" s="10" t="s">
        <v>16</v>
      </c>
      <c r="H358" s="11">
        <v>33000</v>
      </c>
      <c r="I358" s="13" t="s">
        <v>26</v>
      </c>
    </row>
    <row r="359" spans="1:9" s="8" customFormat="1" ht="18" customHeight="1" outlineLevel="1" x14ac:dyDescent="0.2">
      <c r="A359" s="9" t="s">
        <v>505</v>
      </c>
      <c r="B359" s="9" t="s">
        <v>22</v>
      </c>
      <c r="C359" s="9" t="s">
        <v>506</v>
      </c>
      <c r="D359" s="663" t="str">
        <f>HYPERLINK("https://cloud.mail.ru/public/E1SS/jxw11q8LG","Ссылка")</f>
        <v>Ссылка</v>
      </c>
      <c r="E359" s="664" t="str">
        <f>HYPERLINK("https://adv-map.ru/place/?LINK=697573f196e2569d54034c9b26e80c1f","Ссылка")</f>
        <v>Ссылка</v>
      </c>
      <c r="F359" s="9" t="s">
        <v>507</v>
      </c>
      <c r="G359" s="10" t="s">
        <v>51</v>
      </c>
      <c r="H359" s="11">
        <v>30000</v>
      </c>
      <c r="I359" s="12"/>
    </row>
    <row r="360" spans="1:9" s="8" customFormat="1" ht="18" customHeight="1" outlineLevel="1" x14ac:dyDescent="0.2">
      <c r="A360" s="9" t="s">
        <v>505</v>
      </c>
      <c r="B360" s="9" t="s">
        <v>27</v>
      </c>
      <c r="C360" s="9" t="s">
        <v>506</v>
      </c>
      <c r="D360" s="663" t="str">
        <f>HYPERLINK("https://cloud.mail.ru/public/E1SS/jxw11q8LG","Ссылка")</f>
        <v>Ссылка</v>
      </c>
      <c r="E360" s="665" t="str">
        <f>HYPERLINK("https://adv-map.ru/place/?LINK=ff30f1b67453e7bd3c83229f46781824","Ссылка")</f>
        <v>Ссылка</v>
      </c>
      <c r="F360" s="9" t="s">
        <v>507</v>
      </c>
      <c r="G360" s="10" t="s">
        <v>51</v>
      </c>
      <c r="H360" s="11">
        <v>30000</v>
      </c>
      <c r="I360" s="12"/>
    </row>
    <row r="361" spans="1:9" s="8" customFormat="1" ht="18" customHeight="1" outlineLevel="1" x14ac:dyDescent="0.2">
      <c r="A361" s="9" t="s">
        <v>505</v>
      </c>
      <c r="B361" s="9" t="s">
        <v>28</v>
      </c>
      <c r="C361" s="9" t="s">
        <v>506</v>
      </c>
      <c r="D361" s="663" t="str">
        <f>HYPERLINK("https://cloud.mail.ru/public/E1SS/jxw11q8LG","Ссылка")</f>
        <v>Ссылка</v>
      </c>
      <c r="E361" s="666" t="str">
        <f>HYPERLINK("https://adv-map.ru/place/?LINK=0b15745c62bfe5755bcfdb740d53f087","Ссылка")</f>
        <v>Ссылка</v>
      </c>
      <c r="F361" s="9" t="s">
        <v>507</v>
      </c>
      <c r="G361" s="10" t="s">
        <v>51</v>
      </c>
      <c r="H361" s="11">
        <v>30000</v>
      </c>
      <c r="I361" s="13" t="s">
        <v>26</v>
      </c>
    </row>
    <row r="362" spans="1:9" s="8" customFormat="1" ht="18" customHeight="1" outlineLevel="1" x14ac:dyDescent="0.2">
      <c r="A362" s="9" t="s">
        <v>508</v>
      </c>
      <c r="B362" s="9" t="s">
        <v>17</v>
      </c>
      <c r="C362" s="9" t="s">
        <v>506</v>
      </c>
      <c r="D362" s="667" t="str">
        <f>HYPERLINK("https://cloud.mail.ru/public/hHTY/pBvPBp6X5","Ссылка")</f>
        <v>Ссылка</v>
      </c>
      <c r="E362" s="668" t="str">
        <f>HYPERLINK("https://adv-map.ru/place/?LINK=258e8943f6d190a71526be7a1c369b68","Ссылка")</f>
        <v>Ссылка</v>
      </c>
      <c r="F362" s="9" t="s">
        <v>507</v>
      </c>
      <c r="G362" s="10" t="s">
        <v>16</v>
      </c>
      <c r="H362" s="11">
        <v>27000</v>
      </c>
      <c r="I362" s="12"/>
    </row>
    <row r="363" spans="1:9" s="8" customFormat="1" ht="18" customHeight="1" outlineLevel="1" x14ac:dyDescent="0.2">
      <c r="A363" s="9" t="s">
        <v>509</v>
      </c>
      <c r="B363" s="9" t="s">
        <v>22</v>
      </c>
      <c r="C363" s="9" t="s">
        <v>510</v>
      </c>
      <c r="D363" s="669" t="str">
        <f>HYPERLINK("https://cloud.mail.ru/public/zsjQ/7WovxMnVb","Ссылка")</f>
        <v>Ссылка</v>
      </c>
      <c r="E363" s="670" t="str">
        <f>HYPERLINK("https://adv-map.ru/place/?LINK=bc5f622161cf9e16a815940f18efa795","Ссылка")</f>
        <v>Ссылка</v>
      </c>
      <c r="F363" s="9" t="s">
        <v>511</v>
      </c>
      <c r="G363" s="10" t="s">
        <v>51</v>
      </c>
      <c r="H363" s="11">
        <v>32000</v>
      </c>
      <c r="I363" s="13" t="s">
        <v>26</v>
      </c>
    </row>
    <row r="364" spans="1:9" s="8" customFormat="1" ht="18" customHeight="1" outlineLevel="1" x14ac:dyDescent="0.2">
      <c r="A364" s="9" t="s">
        <v>509</v>
      </c>
      <c r="B364" s="9" t="s">
        <v>27</v>
      </c>
      <c r="C364" s="9" t="s">
        <v>510</v>
      </c>
      <c r="D364" s="669" t="str">
        <f>HYPERLINK("https://cloud.mail.ru/public/zsjQ/7WovxMnVb","Ссылка")</f>
        <v>Ссылка</v>
      </c>
      <c r="E364" s="671" t="str">
        <f>HYPERLINK("https://adv-map.ru/place/?LINK=6e933b24413ca5d8411fd68d0e0b7554","Ссылка")</f>
        <v>Ссылка</v>
      </c>
      <c r="F364" s="9" t="s">
        <v>511</v>
      </c>
      <c r="G364" s="10" t="s">
        <v>51</v>
      </c>
      <c r="H364" s="11">
        <v>32000</v>
      </c>
      <c r="I364" s="13" t="s">
        <v>26</v>
      </c>
    </row>
    <row r="365" spans="1:9" s="8" customFormat="1" ht="18" customHeight="1" outlineLevel="1" x14ac:dyDescent="0.2">
      <c r="A365" s="9" t="s">
        <v>509</v>
      </c>
      <c r="B365" s="9" t="s">
        <v>28</v>
      </c>
      <c r="C365" s="9" t="s">
        <v>510</v>
      </c>
      <c r="D365" s="669" t="str">
        <f>HYPERLINK("https://cloud.mail.ru/public/zsjQ/7WovxMnVb","Ссылка")</f>
        <v>Ссылка</v>
      </c>
      <c r="E365" s="672" t="str">
        <f>HYPERLINK("https://adv-map.ru/place/?LINK=d093aff3effe0751735f85a0021ca4f0","Ссылка")</f>
        <v>Ссылка</v>
      </c>
      <c r="F365" s="9" t="s">
        <v>511</v>
      </c>
      <c r="G365" s="10" t="s">
        <v>51</v>
      </c>
      <c r="H365" s="11">
        <v>32000</v>
      </c>
      <c r="I365" s="13" t="s">
        <v>26</v>
      </c>
    </row>
    <row r="366" spans="1:9" s="8" customFormat="1" ht="18" customHeight="1" outlineLevel="1" x14ac:dyDescent="0.2">
      <c r="A366" s="9" t="s">
        <v>509</v>
      </c>
      <c r="B366" s="9" t="s">
        <v>17</v>
      </c>
      <c r="C366" s="9" t="s">
        <v>510</v>
      </c>
      <c r="D366" s="673" t="str">
        <f>HYPERLINK("https://cloud.mail.ru/public/1G6H/SUUUW5J2T","Ссылка")</f>
        <v>Ссылка</v>
      </c>
      <c r="E366" s="674" t="str">
        <f>HYPERLINK("https://adv-map.ru/place/?LINK=46d59acfd99f35d562bde6fa41cce817","Ссылка")</f>
        <v>Ссылка</v>
      </c>
      <c r="F366" s="9" t="s">
        <v>511</v>
      </c>
      <c r="G366" s="10" t="s">
        <v>16</v>
      </c>
      <c r="H366" s="11">
        <v>31000</v>
      </c>
      <c r="I366" s="13" t="s">
        <v>47</v>
      </c>
    </row>
    <row r="367" spans="1:9" s="8" customFormat="1" ht="18" customHeight="1" outlineLevel="1" x14ac:dyDescent="0.2">
      <c r="A367" s="9" t="s">
        <v>512</v>
      </c>
      <c r="B367" s="9" t="s">
        <v>13</v>
      </c>
      <c r="C367" s="9" t="s">
        <v>513</v>
      </c>
      <c r="D367" s="675" t="str">
        <f>HYPERLINK("https://cloud.mail.ru/public/H1eF/75J9871iK","Ссылка")</f>
        <v>Ссылка</v>
      </c>
      <c r="E367" s="676" t="str">
        <f>HYPERLINK("https://adv-map.ru/place/?LINK=c30be09f4dd5ab80cdbbf55ed0cec925","Ссылка")</f>
        <v>Ссылка</v>
      </c>
      <c r="F367" s="9" t="s">
        <v>514</v>
      </c>
      <c r="G367" s="10" t="s">
        <v>16</v>
      </c>
      <c r="H367" s="11">
        <v>29000</v>
      </c>
      <c r="I367" s="13" t="s">
        <v>26</v>
      </c>
    </row>
    <row r="368" spans="1:9" s="8" customFormat="1" ht="18" customHeight="1" outlineLevel="1" x14ac:dyDescent="0.2">
      <c r="A368" s="9" t="s">
        <v>512</v>
      </c>
      <c r="B368" s="9" t="s">
        <v>292</v>
      </c>
      <c r="C368" s="9" t="s">
        <v>513</v>
      </c>
      <c r="D368" s="677" t="str">
        <f>HYPERLINK("https://cloud.mail.ru/public/Vq3Z/Zywti9cGU","Ссылка")</f>
        <v>Ссылка</v>
      </c>
      <c r="E368" s="678" t="str">
        <f>HYPERLINK("https://adv-map.ru/place/?LINK=35fb0b715835ed105077e918d2dfb49d","Ссылка")</f>
        <v>Ссылка</v>
      </c>
      <c r="F368" s="9" t="s">
        <v>514</v>
      </c>
      <c r="G368" s="10" t="s">
        <v>16</v>
      </c>
      <c r="H368" s="11">
        <v>33000</v>
      </c>
      <c r="I368" s="13" t="s">
        <v>26</v>
      </c>
    </row>
    <row r="369" spans="1:9" s="8" customFormat="1" ht="18" customHeight="1" outlineLevel="1" x14ac:dyDescent="0.2">
      <c r="A369" s="9" t="s">
        <v>515</v>
      </c>
      <c r="B369" s="9" t="s">
        <v>17</v>
      </c>
      <c r="C369" s="9" t="s">
        <v>516</v>
      </c>
      <c r="D369" s="679" t="str">
        <f>HYPERLINK("https://cloud.mail.ru/public/H21v/s2teEaj4F","Ссылка")</f>
        <v>Ссылка</v>
      </c>
      <c r="E369" s="680" t="str">
        <f>HYPERLINK("https://adv-map.ru/place/?LINK=e98d94f5edc64f3f6622d6cf504d1a70","Ссылка")</f>
        <v>Ссылка</v>
      </c>
      <c r="F369" s="9" t="s">
        <v>517</v>
      </c>
      <c r="G369" s="10" t="s">
        <v>16</v>
      </c>
      <c r="H369" s="11">
        <v>25000</v>
      </c>
      <c r="I369" s="13" t="s">
        <v>47</v>
      </c>
    </row>
    <row r="370" spans="1:9" s="8" customFormat="1" ht="18" customHeight="1" outlineLevel="1" x14ac:dyDescent="0.2">
      <c r="A370" s="9" t="s">
        <v>518</v>
      </c>
      <c r="B370" s="9" t="s">
        <v>22</v>
      </c>
      <c r="C370" s="9" t="s">
        <v>519</v>
      </c>
      <c r="D370" s="681" t="str">
        <f>HYPERLINK("https://cloud.mail.ru/public/e2bn/n74WnSSD8","Ссылка")</f>
        <v>Ссылка</v>
      </c>
      <c r="E370" s="682" t="str">
        <f>HYPERLINK("https://adv-map.ru/place/?LINK=647c4bc74dd29440158ae4e27ec91d52","Ссылка")</f>
        <v>Ссылка</v>
      </c>
      <c r="F370" s="9" t="s">
        <v>520</v>
      </c>
      <c r="G370" s="10" t="s">
        <v>51</v>
      </c>
      <c r="H370" s="11">
        <v>30000</v>
      </c>
      <c r="I370" s="12"/>
    </row>
    <row r="371" spans="1:9" s="8" customFormat="1" ht="18" customHeight="1" outlineLevel="1" x14ac:dyDescent="0.2">
      <c r="A371" s="9" t="s">
        <v>518</v>
      </c>
      <c r="B371" s="9" t="s">
        <v>27</v>
      </c>
      <c r="C371" s="9" t="s">
        <v>519</v>
      </c>
      <c r="D371" s="681" t="str">
        <f>HYPERLINK("https://cloud.mail.ru/public/e2bn/n74WnSSD8","Ссылка")</f>
        <v>Ссылка</v>
      </c>
      <c r="E371" s="683" t="str">
        <f>HYPERLINK("https://adv-map.ru/place/?LINK=51b9a9ba48a63692cfebba12c11ee15f","Ссылка")</f>
        <v>Ссылка</v>
      </c>
      <c r="F371" s="9" t="s">
        <v>520</v>
      </c>
      <c r="G371" s="10" t="s">
        <v>51</v>
      </c>
      <c r="H371" s="11">
        <v>30000</v>
      </c>
      <c r="I371" s="13" t="s">
        <v>351</v>
      </c>
    </row>
    <row r="372" spans="1:9" s="8" customFormat="1" ht="18" customHeight="1" outlineLevel="1" x14ac:dyDescent="0.2">
      <c r="A372" s="9" t="s">
        <v>518</v>
      </c>
      <c r="B372" s="9" t="s">
        <v>28</v>
      </c>
      <c r="C372" s="9" t="s">
        <v>519</v>
      </c>
      <c r="D372" s="681" t="str">
        <f>HYPERLINK("https://cloud.mail.ru/public/e2bn/n74WnSSD8","Ссылка")</f>
        <v>Ссылка</v>
      </c>
      <c r="E372" s="684" t="str">
        <f>HYPERLINK("https://adv-map.ru/place/?LINK=87cf9937f9759932b5430dcf497050c9","Ссылка")</f>
        <v>Ссылка</v>
      </c>
      <c r="F372" s="9" t="s">
        <v>520</v>
      </c>
      <c r="G372" s="10" t="s">
        <v>51</v>
      </c>
      <c r="H372" s="11">
        <v>30000</v>
      </c>
      <c r="I372" s="12"/>
    </row>
    <row r="373" spans="1:9" s="8" customFormat="1" ht="18" customHeight="1" outlineLevel="1" x14ac:dyDescent="0.2">
      <c r="A373" s="9" t="s">
        <v>518</v>
      </c>
      <c r="B373" s="9" t="s">
        <v>167</v>
      </c>
      <c r="C373" s="9" t="s">
        <v>519</v>
      </c>
      <c r="D373" s="685" t="str">
        <f>HYPERLINK("https://cloud.mail.ru/public/ye1B/k7oSEEFbh","Ссылка")</f>
        <v>Ссылка</v>
      </c>
      <c r="E373" s="686" t="str">
        <f>HYPERLINK("https://adv-map.ru/place/?LINK=c05e7900d1e7abcece9791cc0492c127","Ссылка")</f>
        <v>Ссылка</v>
      </c>
      <c r="F373" s="9" t="s">
        <v>520</v>
      </c>
      <c r="G373" s="10" t="s">
        <v>51</v>
      </c>
      <c r="H373" s="11">
        <v>20000</v>
      </c>
      <c r="I373" s="12"/>
    </row>
    <row r="374" spans="1:9" s="8" customFormat="1" ht="18" customHeight="1" outlineLevel="1" x14ac:dyDescent="0.2">
      <c r="A374" s="9" t="s">
        <v>521</v>
      </c>
      <c r="B374" s="9" t="s">
        <v>13</v>
      </c>
      <c r="C374" s="9" t="s">
        <v>522</v>
      </c>
      <c r="D374" s="687" t="str">
        <f>HYPERLINK("https://cloud.mail.ru/public/RmgU/oYuTjRmo8","Ссылка")</f>
        <v>Ссылка</v>
      </c>
      <c r="E374" s="688" t="str">
        <f>HYPERLINK("https://adv-map.ru/place/?LINK=40369b15afb6b889b4efd79a5b3c6df4","Ссылка")</f>
        <v>Ссылка</v>
      </c>
      <c r="F374" s="9" t="s">
        <v>523</v>
      </c>
      <c r="G374" s="10" t="s">
        <v>16</v>
      </c>
      <c r="H374" s="11">
        <v>29000</v>
      </c>
      <c r="I374" s="12"/>
    </row>
    <row r="375" spans="1:9" s="8" customFormat="1" ht="18" customHeight="1" outlineLevel="1" x14ac:dyDescent="0.2">
      <c r="A375" s="9" t="s">
        <v>521</v>
      </c>
      <c r="B375" s="9" t="s">
        <v>17</v>
      </c>
      <c r="C375" s="9" t="s">
        <v>522</v>
      </c>
      <c r="D375" s="689" t="str">
        <f>HYPERLINK("https://cloud.mail.ru/public/G3pp/xwYPqMJEX","Ссылка")</f>
        <v>Ссылка</v>
      </c>
      <c r="E375" s="690" t="str">
        <f>HYPERLINK("https://adv-map.ru/place/?LINK=60e75dd51900430f9356e61c1bc72992","Ссылка")</f>
        <v>Ссылка</v>
      </c>
      <c r="F375" s="9" t="s">
        <v>523</v>
      </c>
      <c r="G375" s="10" t="s">
        <v>16</v>
      </c>
      <c r="H375" s="11">
        <v>29000</v>
      </c>
      <c r="I375" s="12"/>
    </row>
    <row r="376" spans="1:9" s="8" customFormat="1" ht="18" customHeight="1" outlineLevel="1" x14ac:dyDescent="0.2">
      <c r="A376" s="9" t="s">
        <v>524</v>
      </c>
      <c r="B376" s="9" t="s">
        <v>13</v>
      </c>
      <c r="C376" s="9" t="s">
        <v>522</v>
      </c>
      <c r="D376" s="691" t="str">
        <f>HYPERLINK("https://cloud.mail.ru/public/hKGy/aLkZpwsXK","Ссылка")</f>
        <v>Ссылка</v>
      </c>
      <c r="E376" s="692" t="str">
        <f>HYPERLINK("https://adv-map.ru/place/?LINK=2b5524fb3d9d7fc227c8c1619af6c617","Ссылка")</f>
        <v>Ссылка</v>
      </c>
      <c r="F376" s="9" t="s">
        <v>525</v>
      </c>
      <c r="G376" s="10" t="s">
        <v>16</v>
      </c>
      <c r="H376" s="11">
        <v>29000</v>
      </c>
      <c r="I376" s="12"/>
    </row>
    <row r="377" spans="1:9" s="8" customFormat="1" ht="18" customHeight="1" outlineLevel="1" x14ac:dyDescent="0.2">
      <c r="A377" s="9" t="s">
        <v>524</v>
      </c>
      <c r="B377" s="9" t="s">
        <v>17</v>
      </c>
      <c r="C377" s="9" t="s">
        <v>522</v>
      </c>
      <c r="D377" s="693" t="str">
        <f>HYPERLINK("https://cloud.mail.ru/public/bGMU/piyhW283M","Ссылка")</f>
        <v>Ссылка</v>
      </c>
      <c r="E377" s="694" t="str">
        <f>HYPERLINK("https://adv-map.ru/place/?LINK=b8d98f58d6fb8332b4494bfd692d9c9f","Ссылка")</f>
        <v>Ссылка</v>
      </c>
      <c r="F377" s="9" t="s">
        <v>525</v>
      </c>
      <c r="G377" s="10" t="s">
        <v>16</v>
      </c>
      <c r="H377" s="11">
        <v>25000</v>
      </c>
      <c r="I377" s="12"/>
    </row>
    <row r="378" spans="1:9" s="8" customFormat="1" ht="18" customHeight="1" outlineLevel="1" x14ac:dyDescent="0.2">
      <c r="A378" s="9" t="s">
        <v>526</v>
      </c>
      <c r="B378" s="9" t="s">
        <v>13</v>
      </c>
      <c r="C378" s="9" t="s">
        <v>527</v>
      </c>
      <c r="D378" s="695" t="str">
        <f>HYPERLINK("https://cloud.mail.ru/public/vGuu/ihxh7BG7j","Ссылка")</f>
        <v>Ссылка</v>
      </c>
      <c r="E378" s="696" t="str">
        <f>HYPERLINK("https://adv-map.ru/place/?LINK=ad43fc9a3ccb817221902d050c24e36a","Ссылка")</f>
        <v>Ссылка</v>
      </c>
      <c r="F378" s="9" t="s">
        <v>528</v>
      </c>
      <c r="G378" s="10" t="s">
        <v>16</v>
      </c>
      <c r="H378" s="11">
        <v>23000</v>
      </c>
      <c r="I378" s="13" t="s">
        <v>26</v>
      </c>
    </row>
    <row r="379" spans="1:9" s="8" customFormat="1" ht="18" customHeight="1" outlineLevel="1" x14ac:dyDescent="0.2">
      <c r="A379" s="9" t="s">
        <v>526</v>
      </c>
      <c r="B379" s="9" t="s">
        <v>17</v>
      </c>
      <c r="C379" s="9" t="s">
        <v>527</v>
      </c>
      <c r="D379" s="697" t="str">
        <f>HYPERLINK("https://cloud.mail.ru/public/F3Q3/KSkxidgFV","Ссылка")</f>
        <v>Ссылка</v>
      </c>
      <c r="E379" s="698" t="str">
        <f>HYPERLINK("https://adv-map.ru/place/?LINK=b5c5e2e82a9677884dc2bb242926ec47","Ссылка")</f>
        <v>Ссылка</v>
      </c>
      <c r="F379" s="9" t="s">
        <v>528</v>
      </c>
      <c r="G379" s="10" t="s">
        <v>16</v>
      </c>
      <c r="H379" s="11">
        <v>23000</v>
      </c>
      <c r="I379" s="13" t="s">
        <v>26</v>
      </c>
    </row>
    <row r="380" spans="1:9" s="8" customFormat="1" ht="18" customHeight="1" outlineLevel="1" x14ac:dyDescent="0.2">
      <c r="A380" s="9" t="s">
        <v>529</v>
      </c>
      <c r="B380" s="9" t="s">
        <v>22</v>
      </c>
      <c r="C380" s="9" t="s">
        <v>530</v>
      </c>
      <c r="D380" s="699" t="str">
        <f>HYPERLINK("https://cloud.mail.ru/public/Fow6/jkfGderdq","Ссылка")</f>
        <v>Ссылка</v>
      </c>
      <c r="E380" s="700" t="str">
        <f>HYPERLINK("https://adv-map.ru/place/?LINK=39b6a60ef0ffd636e4f3a8eb618f79bc","Ссылка")</f>
        <v>Ссылка</v>
      </c>
      <c r="F380" s="9" t="s">
        <v>531</v>
      </c>
      <c r="G380" s="10" t="s">
        <v>51</v>
      </c>
      <c r="H380" s="11">
        <v>29000</v>
      </c>
      <c r="I380" s="12"/>
    </row>
    <row r="381" spans="1:9" s="8" customFormat="1" ht="18" customHeight="1" outlineLevel="1" x14ac:dyDescent="0.2">
      <c r="A381" s="9" t="s">
        <v>529</v>
      </c>
      <c r="B381" s="9" t="s">
        <v>27</v>
      </c>
      <c r="C381" s="9" t="s">
        <v>530</v>
      </c>
      <c r="D381" s="699" t="str">
        <f>HYPERLINK("https://cloud.mail.ru/public/Fow6/jkfGderdq","Ссылка")</f>
        <v>Ссылка</v>
      </c>
      <c r="E381" s="701" t="str">
        <f>HYPERLINK("https://adv-map.ru/place/?LINK=2e7212dfc4ed7959c1e197152b0c7101","Ссылка")</f>
        <v>Ссылка</v>
      </c>
      <c r="F381" s="9" t="s">
        <v>531</v>
      </c>
      <c r="G381" s="10" t="s">
        <v>51</v>
      </c>
      <c r="H381" s="11">
        <v>29000</v>
      </c>
      <c r="I381" s="13" t="s">
        <v>47</v>
      </c>
    </row>
    <row r="382" spans="1:9" s="8" customFormat="1" ht="18" customHeight="1" outlineLevel="1" x14ac:dyDescent="0.2">
      <c r="A382" s="9" t="s">
        <v>529</v>
      </c>
      <c r="B382" s="9" t="s">
        <v>28</v>
      </c>
      <c r="C382" s="9" t="s">
        <v>530</v>
      </c>
      <c r="D382" s="699" t="str">
        <f>HYPERLINK("https://cloud.mail.ru/public/Fow6/jkfGderdq","Ссылка")</f>
        <v>Ссылка</v>
      </c>
      <c r="E382" s="702" t="str">
        <f>HYPERLINK("https://adv-map.ru/place/?LINK=628e808ede5209d84b619885f9934b2e","Ссылка")</f>
        <v>Ссылка</v>
      </c>
      <c r="F382" s="9" t="s">
        <v>531</v>
      </c>
      <c r="G382" s="10" t="s">
        <v>51</v>
      </c>
      <c r="H382" s="11">
        <v>29000</v>
      </c>
      <c r="I382" s="12"/>
    </row>
    <row r="383" spans="1:9" s="8" customFormat="1" ht="18" customHeight="1" outlineLevel="1" x14ac:dyDescent="0.2">
      <c r="A383" s="9" t="s">
        <v>529</v>
      </c>
      <c r="B383" s="9" t="s">
        <v>165</v>
      </c>
      <c r="C383" s="9" t="s">
        <v>530</v>
      </c>
      <c r="D383" s="703" t="str">
        <f>HYPERLINK("https://cloud.mail.ru/public/CdmE/Ese2ohK7q","Ссылка")</f>
        <v>Ссылка</v>
      </c>
      <c r="E383" s="704" t="str">
        <f>HYPERLINK("https://adv-map.ru/place/?LINK=e3ee578bfd963cc941b23224c300a539","Ссылка")</f>
        <v>Ссылка</v>
      </c>
      <c r="F383" s="9" t="s">
        <v>531</v>
      </c>
      <c r="G383" s="10" t="s">
        <v>51</v>
      </c>
      <c r="H383" s="11">
        <v>26500</v>
      </c>
      <c r="I383" s="12"/>
    </row>
    <row r="384" spans="1:9" s="8" customFormat="1" ht="18" customHeight="1" outlineLevel="1" x14ac:dyDescent="0.2">
      <c r="A384" s="9" t="s">
        <v>529</v>
      </c>
      <c r="B384" s="9" t="s">
        <v>166</v>
      </c>
      <c r="C384" s="9" t="s">
        <v>530</v>
      </c>
      <c r="D384" s="703" t="str">
        <f>HYPERLINK("https://cloud.mail.ru/public/CdmE/Ese2ohK7q","Ссылка")</f>
        <v>Ссылка</v>
      </c>
      <c r="E384" s="705" t="str">
        <f>HYPERLINK("https://adv-map.ru/place/?LINK=23279fca54fed3c21c323131684afe8e","Ссылка")</f>
        <v>Ссылка</v>
      </c>
      <c r="F384" s="9" t="s">
        <v>531</v>
      </c>
      <c r="G384" s="10" t="s">
        <v>51</v>
      </c>
      <c r="H384" s="11">
        <v>26500</v>
      </c>
      <c r="I384" s="13" t="s">
        <v>26</v>
      </c>
    </row>
    <row r="385" spans="1:9" s="8" customFormat="1" ht="18" customHeight="1" outlineLevel="1" x14ac:dyDescent="0.2">
      <c r="A385" s="9" t="s">
        <v>529</v>
      </c>
      <c r="B385" s="9" t="s">
        <v>167</v>
      </c>
      <c r="C385" s="9" t="s">
        <v>530</v>
      </c>
      <c r="D385" s="703" t="str">
        <f>HYPERLINK("https://cloud.mail.ru/public/CdmE/Ese2ohK7q","Ссылка")</f>
        <v>Ссылка</v>
      </c>
      <c r="E385" s="706" t="str">
        <f>HYPERLINK("https://adv-map.ru/place/?LINK=282aa66e14a718b2f97f7b3915a7142a","Ссылка")</f>
        <v>Ссылка</v>
      </c>
      <c r="F385" s="9" t="s">
        <v>531</v>
      </c>
      <c r="G385" s="10" t="s">
        <v>51</v>
      </c>
      <c r="H385" s="11">
        <v>26500</v>
      </c>
      <c r="I385" s="12"/>
    </row>
    <row r="386" spans="1:9" s="8" customFormat="1" ht="18" customHeight="1" outlineLevel="1" x14ac:dyDescent="0.2">
      <c r="A386" s="9" t="s">
        <v>532</v>
      </c>
      <c r="B386" s="9" t="s">
        <v>13</v>
      </c>
      <c r="C386" s="9" t="s">
        <v>533</v>
      </c>
      <c r="D386" s="707" t="str">
        <f>HYPERLINK("https://cloud.mail.ru/public/oMVJ/pyLxGktgh","Ссылка")</f>
        <v>Ссылка</v>
      </c>
      <c r="E386" s="708" t="str">
        <f>HYPERLINK("https://adv-map.ru/place/?LINK=96b0452d11beb3955068496421156c7c","Ссылка")</f>
        <v>Ссылка</v>
      </c>
      <c r="F386" s="9" t="s">
        <v>534</v>
      </c>
      <c r="G386" s="10" t="s">
        <v>16</v>
      </c>
      <c r="H386" s="11">
        <v>33000</v>
      </c>
      <c r="I386" s="13" t="s">
        <v>26</v>
      </c>
    </row>
    <row r="387" spans="1:9" s="8" customFormat="1" ht="18" customHeight="1" outlineLevel="1" x14ac:dyDescent="0.2">
      <c r="A387" s="9" t="s">
        <v>532</v>
      </c>
      <c r="B387" s="9" t="s">
        <v>17</v>
      </c>
      <c r="C387" s="9" t="s">
        <v>533</v>
      </c>
      <c r="D387" s="709" t="str">
        <f>HYPERLINK("https://cloud.mail.ru/public/FRbP/cpCa9ZgR9","Ссылка")</f>
        <v>Ссылка</v>
      </c>
      <c r="E387" s="710" t="str">
        <f>HYPERLINK("https://adv-map.ru/place/?LINK=ea19d7e1c2b3a1fadf04a1c4f7a39f36","Ссылка")</f>
        <v>Ссылка</v>
      </c>
      <c r="F387" s="9" t="s">
        <v>534</v>
      </c>
      <c r="G387" s="10" t="s">
        <v>16</v>
      </c>
      <c r="H387" s="11">
        <v>27000</v>
      </c>
      <c r="I387" s="13" t="s">
        <v>26</v>
      </c>
    </row>
    <row r="388" spans="1:9" s="8" customFormat="1" ht="18" customHeight="1" outlineLevel="1" x14ac:dyDescent="0.2">
      <c r="A388" s="9" t="s">
        <v>535</v>
      </c>
      <c r="B388" s="9" t="s">
        <v>13</v>
      </c>
      <c r="C388" s="9" t="s">
        <v>536</v>
      </c>
      <c r="D388" s="711" t="str">
        <f>HYPERLINK("https://cloud.mail.ru/public/s7F4/BTNchcA1J","Ссылка")</f>
        <v>Ссылка</v>
      </c>
      <c r="E388" s="712" t="str">
        <f>HYPERLINK("https://adv-map.ru/place/?LINK=ca9b8e5a3449d4f91a5f77e27296cf75","Ссылка")</f>
        <v>Ссылка</v>
      </c>
      <c r="F388" s="9" t="s">
        <v>537</v>
      </c>
      <c r="G388" s="10" t="s">
        <v>16</v>
      </c>
      <c r="H388" s="11">
        <v>33000</v>
      </c>
      <c r="I388" s="13" t="s">
        <v>26</v>
      </c>
    </row>
    <row r="389" spans="1:9" s="8" customFormat="1" ht="18" customHeight="1" outlineLevel="1" x14ac:dyDescent="0.2">
      <c r="A389" s="9" t="s">
        <v>535</v>
      </c>
      <c r="B389" s="9" t="s">
        <v>17</v>
      </c>
      <c r="C389" s="9" t="s">
        <v>536</v>
      </c>
      <c r="D389" s="713" t="str">
        <f>HYPERLINK("https://cloud.mail.ru/public/XD17/m51Cty6x7","Ссылка")</f>
        <v>Ссылка</v>
      </c>
      <c r="E389" s="714" t="str">
        <f>HYPERLINK("https://adv-map.ru/place/?LINK=78de91d9fd74f819a45ec8c2ba67dcce","Ссылка")</f>
        <v>Ссылка</v>
      </c>
      <c r="F389" s="9" t="s">
        <v>537</v>
      </c>
      <c r="G389" s="10" t="s">
        <v>16</v>
      </c>
      <c r="H389" s="11">
        <v>27000</v>
      </c>
      <c r="I389" s="13" t="s">
        <v>26</v>
      </c>
    </row>
    <row r="390" spans="1:9" s="8" customFormat="1" ht="18" customHeight="1" outlineLevel="1" x14ac:dyDescent="0.2">
      <c r="A390" s="9" t="s">
        <v>538</v>
      </c>
      <c r="B390" s="9" t="s">
        <v>13</v>
      </c>
      <c r="C390" s="9" t="s">
        <v>539</v>
      </c>
      <c r="D390" s="715" t="str">
        <f>HYPERLINK("https://cloud.mail.ru/public/xm1J/xTGMGCkcB","Ссылка")</f>
        <v>Ссылка</v>
      </c>
      <c r="E390" s="716" t="str">
        <f>HYPERLINK("https://adv-map.ru/place/?LINK=33a6ef822f9e767add16d70dbdf2a430","Ссылка")</f>
        <v>Ссылка</v>
      </c>
      <c r="F390" s="9" t="s">
        <v>540</v>
      </c>
      <c r="G390" s="10" t="s">
        <v>16</v>
      </c>
      <c r="H390" s="11">
        <v>31000</v>
      </c>
      <c r="I390" s="13" t="s">
        <v>26</v>
      </c>
    </row>
    <row r="391" spans="1:9" s="8" customFormat="1" ht="18" customHeight="1" outlineLevel="1" x14ac:dyDescent="0.2">
      <c r="A391" s="9" t="s">
        <v>541</v>
      </c>
      <c r="B391" s="9" t="s">
        <v>17</v>
      </c>
      <c r="C391" s="9" t="s">
        <v>539</v>
      </c>
      <c r="D391" s="717" t="str">
        <f>HYPERLINK("https://cloud.mail.ru/public/xBnt/JppjfRjQV","Ссылка")</f>
        <v>Ссылка</v>
      </c>
      <c r="E391" s="718" t="str">
        <f>HYPERLINK("https://adv-map.ru/place/?LINK=9004c8503bcfbe44004fa0fe9d35b712","Ссылка")</f>
        <v>Ссылка</v>
      </c>
      <c r="F391" s="9" t="s">
        <v>540</v>
      </c>
      <c r="G391" s="10" t="s">
        <v>16</v>
      </c>
      <c r="H391" s="11">
        <v>25000</v>
      </c>
      <c r="I391" s="13" t="s">
        <v>26</v>
      </c>
    </row>
    <row r="392" spans="1:9" s="8" customFormat="1" ht="18" customHeight="1" outlineLevel="1" x14ac:dyDescent="0.2">
      <c r="A392" s="9" t="s">
        <v>542</v>
      </c>
      <c r="B392" s="9" t="s">
        <v>13</v>
      </c>
      <c r="C392" s="9" t="s">
        <v>543</v>
      </c>
      <c r="D392" s="719" t="str">
        <f>HYPERLINK("https://cloud.mail.ru/public/UCRG/8WiaKcTgF","Ссылка")</f>
        <v>Ссылка</v>
      </c>
      <c r="E392" s="9"/>
      <c r="F392" s="9"/>
      <c r="G392" s="10" t="s">
        <v>16</v>
      </c>
      <c r="H392" s="11">
        <v>31000</v>
      </c>
      <c r="I392" s="13" t="s">
        <v>26</v>
      </c>
    </row>
    <row r="393" spans="1:9" s="8" customFormat="1" ht="18" customHeight="1" outlineLevel="1" x14ac:dyDescent="0.2">
      <c r="A393" s="9" t="s">
        <v>542</v>
      </c>
      <c r="B393" s="9" t="s">
        <v>17</v>
      </c>
      <c r="C393" s="9" t="s">
        <v>543</v>
      </c>
      <c r="D393" s="720" t="str">
        <f>HYPERLINK("https://cloud.mail.ru/public/jstP/ARp2yspv8","Ссылка")</f>
        <v>Ссылка</v>
      </c>
      <c r="E393" s="9"/>
      <c r="F393" s="9"/>
      <c r="G393" s="10" t="s">
        <v>16</v>
      </c>
      <c r="H393" s="11">
        <v>27000</v>
      </c>
      <c r="I393" s="13" t="s">
        <v>26</v>
      </c>
    </row>
    <row r="394" spans="1:9" s="8" customFormat="1" ht="18" customHeight="1" outlineLevel="1" x14ac:dyDescent="0.2">
      <c r="A394" s="9" t="s">
        <v>544</v>
      </c>
      <c r="B394" s="9" t="s">
        <v>13</v>
      </c>
      <c r="C394" s="9" t="s">
        <v>545</v>
      </c>
      <c r="D394" s="721" t="str">
        <f>HYPERLINK("https://cloud.mail.ru/public/DK8K/tLU8qXBu2","Ссылка")</f>
        <v>Ссылка</v>
      </c>
      <c r="E394" s="722" t="str">
        <f>HYPERLINK("https://adv-map.ru/place/?LINK=e8ca977342d78bafa7cd07a80d58bac3","Ссылка")</f>
        <v>Ссылка</v>
      </c>
      <c r="F394" s="9" t="s">
        <v>546</v>
      </c>
      <c r="G394" s="10" t="s">
        <v>16</v>
      </c>
      <c r="H394" s="11">
        <v>33000</v>
      </c>
      <c r="I394" s="13" t="s">
        <v>26</v>
      </c>
    </row>
    <row r="395" spans="1:9" s="8" customFormat="1" ht="18" customHeight="1" outlineLevel="1" x14ac:dyDescent="0.2">
      <c r="A395" s="9" t="s">
        <v>544</v>
      </c>
      <c r="B395" s="9" t="s">
        <v>17</v>
      </c>
      <c r="C395" s="9" t="s">
        <v>545</v>
      </c>
      <c r="D395" s="723" t="str">
        <f>HYPERLINK("https://cloud.mail.ru/public/5crL/TAkJBZ9wF","Ссылка")</f>
        <v>Ссылка</v>
      </c>
      <c r="E395" s="724" t="str">
        <f>HYPERLINK("https://adv-map.ru/place/?LINK=8360fea8fa62053dc1b5e0a55ba30ba6","Ссылка")</f>
        <v>Ссылка</v>
      </c>
      <c r="F395" s="9" t="s">
        <v>546</v>
      </c>
      <c r="G395" s="10" t="s">
        <v>16</v>
      </c>
      <c r="H395" s="11">
        <v>29000</v>
      </c>
      <c r="I395" s="12"/>
    </row>
    <row r="396" spans="1:9" s="8" customFormat="1" ht="18" customHeight="1" outlineLevel="1" x14ac:dyDescent="0.2">
      <c r="A396" s="9" t="s">
        <v>547</v>
      </c>
      <c r="B396" s="9" t="s">
        <v>13</v>
      </c>
      <c r="C396" s="9" t="s">
        <v>548</v>
      </c>
      <c r="D396" s="725" t="str">
        <f>HYPERLINK("https://cloud.mail.ru/public/VSKX/5kVK9NPg8","Ссылка")</f>
        <v>Ссылка</v>
      </c>
      <c r="E396" s="726" t="str">
        <f>HYPERLINK("https://adv-map.ru/place/?LINK=c09e3c01c3e56904b1dc92a82b33f5c8","Ссылка")</f>
        <v>Ссылка</v>
      </c>
      <c r="F396" s="9" t="s">
        <v>549</v>
      </c>
      <c r="G396" s="10" t="s">
        <v>16</v>
      </c>
      <c r="H396" s="11">
        <v>31000</v>
      </c>
      <c r="I396" s="13" t="s">
        <v>26</v>
      </c>
    </row>
    <row r="397" spans="1:9" s="8" customFormat="1" ht="18" customHeight="1" outlineLevel="1" x14ac:dyDescent="0.2">
      <c r="A397" s="9" t="s">
        <v>547</v>
      </c>
      <c r="B397" s="9" t="s">
        <v>17</v>
      </c>
      <c r="C397" s="9" t="s">
        <v>548</v>
      </c>
      <c r="D397" s="727" t="str">
        <f>HYPERLINK("https://cloud.mail.ru/public/WpsS/WsxzspaMp","Ссылка")</f>
        <v>Ссылка</v>
      </c>
      <c r="E397" s="728" t="str">
        <f>HYPERLINK("https://adv-map.ru/place/?LINK=405381b000ecff54c69053feddbab308","Ссылка")</f>
        <v>Ссылка</v>
      </c>
      <c r="F397" s="9" t="s">
        <v>549</v>
      </c>
      <c r="G397" s="10" t="s">
        <v>16</v>
      </c>
      <c r="H397" s="11">
        <v>25000</v>
      </c>
      <c r="I397" s="12"/>
    </row>
    <row r="398" spans="1:9" s="8" customFormat="1" ht="18" customHeight="1" outlineLevel="1" x14ac:dyDescent="0.2">
      <c r="A398" s="9" t="s">
        <v>550</v>
      </c>
      <c r="B398" s="9" t="s">
        <v>13</v>
      </c>
      <c r="C398" s="9" t="s">
        <v>551</v>
      </c>
      <c r="D398" s="729" t="str">
        <f>HYPERLINK("https://cloud.mail.ru/public/NzCN/AYasL7oyg","Ссылка")</f>
        <v>Ссылка</v>
      </c>
      <c r="E398" s="730" t="str">
        <f>HYPERLINK("https://adv-map.ru/place/?LINK=0cd1f669322c534190412534a1d036b6","Ссылка")</f>
        <v>Ссылка</v>
      </c>
      <c r="F398" s="9" t="s">
        <v>552</v>
      </c>
      <c r="G398" s="10" t="s">
        <v>16</v>
      </c>
      <c r="H398" s="11">
        <v>33000</v>
      </c>
      <c r="I398" s="14"/>
    </row>
    <row r="399" spans="1:9" s="8" customFormat="1" ht="18" customHeight="1" outlineLevel="1" x14ac:dyDescent="0.2">
      <c r="A399" s="9" t="s">
        <v>550</v>
      </c>
      <c r="B399" s="9" t="s">
        <v>17</v>
      </c>
      <c r="C399" s="9" t="s">
        <v>551</v>
      </c>
      <c r="D399" s="731" t="str">
        <f>HYPERLINK("https://cloud.mail.ru/public/DBiw/S5wMeMxNM","Ссылка")</f>
        <v>Ссылка</v>
      </c>
      <c r="E399" s="732" t="str">
        <f>HYPERLINK("https://adv-map.ru/place/?LINK=5163ad9a79c6b83744f433e170a9c361","Ссылка")</f>
        <v>Ссылка</v>
      </c>
      <c r="F399" s="9" t="s">
        <v>552</v>
      </c>
      <c r="G399" s="10" t="s">
        <v>16</v>
      </c>
      <c r="H399" s="11">
        <v>27000</v>
      </c>
      <c r="I399" s="14"/>
    </row>
    <row r="400" spans="1:9" s="8" customFormat="1" ht="18" customHeight="1" outlineLevel="1" x14ac:dyDescent="0.2">
      <c r="A400" s="9" t="s">
        <v>553</v>
      </c>
      <c r="B400" s="9" t="s">
        <v>22</v>
      </c>
      <c r="C400" s="9" t="s">
        <v>554</v>
      </c>
      <c r="D400" s="733" t="str">
        <f>HYPERLINK("https://cloud.mail.ru/public/ASS6/C9cUEESPe","Ссылка")</f>
        <v>Ссылка</v>
      </c>
      <c r="E400" s="734" t="str">
        <f>HYPERLINK("https://adv-map.ru/place/?LINK=c061576c90a1301102fc79e32aaf41c2","Ссылка")</f>
        <v>Ссылка</v>
      </c>
      <c r="F400" s="9" t="s">
        <v>555</v>
      </c>
      <c r="G400" s="10" t="s">
        <v>51</v>
      </c>
      <c r="H400" s="11">
        <v>27500</v>
      </c>
      <c r="I400" s="13" t="s">
        <v>26</v>
      </c>
    </row>
    <row r="401" spans="1:9" s="8" customFormat="1" ht="18" customHeight="1" outlineLevel="1" x14ac:dyDescent="0.2">
      <c r="A401" s="9" t="s">
        <v>553</v>
      </c>
      <c r="B401" s="9" t="s">
        <v>27</v>
      </c>
      <c r="C401" s="9" t="s">
        <v>554</v>
      </c>
      <c r="D401" s="733" t="str">
        <f>HYPERLINK("https://cloud.mail.ru/public/ASS6/C9cUEESPe","Ссылка")</f>
        <v>Ссылка</v>
      </c>
      <c r="E401" s="735" t="str">
        <f>HYPERLINK("https://adv-map.ru/place/?LINK=d1fd092a9d646c63b15e26ed39ce65d6","Ссылка")</f>
        <v>Ссылка</v>
      </c>
      <c r="F401" s="9" t="s">
        <v>555</v>
      </c>
      <c r="G401" s="10" t="s">
        <v>51</v>
      </c>
      <c r="H401" s="11">
        <v>27500</v>
      </c>
      <c r="I401" s="13" t="s">
        <v>26</v>
      </c>
    </row>
    <row r="402" spans="1:9" s="8" customFormat="1" ht="18" customHeight="1" outlineLevel="1" x14ac:dyDescent="0.2">
      <c r="A402" s="9" t="s">
        <v>553</v>
      </c>
      <c r="B402" s="9" t="s">
        <v>28</v>
      </c>
      <c r="C402" s="9" t="s">
        <v>554</v>
      </c>
      <c r="D402" s="733" t="str">
        <f>HYPERLINK("https://cloud.mail.ru/public/ASS6/C9cUEESPe","Ссылка")</f>
        <v>Ссылка</v>
      </c>
      <c r="E402" s="736" t="str">
        <f>HYPERLINK("https://adv-map.ru/place/?LINK=92294c01ff389f6e420d14e91405aed0","Ссылка")</f>
        <v>Ссылка</v>
      </c>
      <c r="F402" s="9" t="s">
        <v>555</v>
      </c>
      <c r="G402" s="10" t="s">
        <v>51</v>
      </c>
      <c r="H402" s="11">
        <v>27500</v>
      </c>
      <c r="I402" s="12"/>
    </row>
    <row r="403" spans="1:9" s="8" customFormat="1" ht="18" customHeight="1" outlineLevel="1" x14ac:dyDescent="0.2">
      <c r="A403" s="9" t="s">
        <v>553</v>
      </c>
      <c r="B403" s="9" t="s">
        <v>165</v>
      </c>
      <c r="C403" s="9" t="s">
        <v>554</v>
      </c>
      <c r="D403" s="737" t="str">
        <f>HYPERLINK("https://cloud.mail.ru/public/wcrM/CKgQixQap","Ссылка")</f>
        <v>Ссылка</v>
      </c>
      <c r="E403" s="738" t="str">
        <f>HYPERLINK("https://adv-map.ru/place/?LINK=34fc7411e1bec424875130e964a353b5","Ссылка")</f>
        <v>Ссылка</v>
      </c>
      <c r="F403" s="9" t="s">
        <v>555</v>
      </c>
      <c r="G403" s="10" t="s">
        <v>51</v>
      </c>
      <c r="H403" s="11">
        <v>31000</v>
      </c>
      <c r="I403" s="13" t="s">
        <v>26</v>
      </c>
    </row>
    <row r="404" spans="1:9" s="8" customFormat="1" ht="18" customHeight="1" outlineLevel="1" x14ac:dyDescent="0.2">
      <c r="A404" s="9" t="s">
        <v>553</v>
      </c>
      <c r="B404" s="9" t="s">
        <v>166</v>
      </c>
      <c r="C404" s="9" t="s">
        <v>554</v>
      </c>
      <c r="D404" s="737" t="str">
        <f>HYPERLINK("https://cloud.mail.ru/public/wcrM/CKgQixQap","Ссылка")</f>
        <v>Ссылка</v>
      </c>
      <c r="E404" s="739" t="str">
        <f>HYPERLINK("https://adv-map.ru/place/?LINK=ff66cf40a7505af0fe3eb56fc0f4a550","Ссылка")</f>
        <v>Ссылка</v>
      </c>
      <c r="F404" s="9" t="s">
        <v>555</v>
      </c>
      <c r="G404" s="10" t="s">
        <v>51</v>
      </c>
      <c r="H404" s="11">
        <v>31000</v>
      </c>
      <c r="I404" s="13" t="s">
        <v>26</v>
      </c>
    </row>
    <row r="405" spans="1:9" s="8" customFormat="1" ht="18" customHeight="1" outlineLevel="1" x14ac:dyDescent="0.2">
      <c r="A405" s="9" t="s">
        <v>553</v>
      </c>
      <c r="B405" s="9" t="s">
        <v>167</v>
      </c>
      <c r="C405" s="9" t="s">
        <v>554</v>
      </c>
      <c r="D405" s="737" t="str">
        <f>HYPERLINK("https://cloud.mail.ru/public/wcrM/CKgQixQap","Ссылка")</f>
        <v>Ссылка</v>
      </c>
      <c r="E405" s="740" t="str">
        <f>HYPERLINK("https://adv-map.ru/place/?LINK=ced3531ad7f6978d92445441d1efe1cf","Ссылка")</f>
        <v>Ссылка</v>
      </c>
      <c r="F405" s="9" t="s">
        <v>555</v>
      </c>
      <c r="G405" s="10" t="s">
        <v>51</v>
      </c>
      <c r="H405" s="11">
        <v>31000</v>
      </c>
      <c r="I405" s="12"/>
    </row>
    <row r="406" spans="1:9" s="8" customFormat="1" ht="18" customHeight="1" outlineLevel="1" x14ac:dyDescent="0.2">
      <c r="A406" s="9" t="s">
        <v>553</v>
      </c>
      <c r="B406" s="9" t="s">
        <v>292</v>
      </c>
      <c r="C406" s="9" t="s">
        <v>554</v>
      </c>
      <c r="D406" s="741" t="str">
        <f>HYPERLINK("https://cloud.mail.ru/public/B4C5/ZZ48DF3yy","Ссылка")</f>
        <v>Ссылка</v>
      </c>
      <c r="E406" s="742" t="str">
        <f>HYPERLINK("https://adv-map.ru/place/?LINK=3c1e905c9bb8e25d26863bede0aeec61","Ссылка")</f>
        <v>Ссылка</v>
      </c>
      <c r="F406" s="9" t="s">
        <v>555</v>
      </c>
      <c r="G406" s="10" t="s">
        <v>16</v>
      </c>
      <c r="H406" s="11">
        <v>25000</v>
      </c>
      <c r="I406" s="12"/>
    </row>
    <row r="407" spans="1:9" s="8" customFormat="1" ht="18" customHeight="1" outlineLevel="1" x14ac:dyDescent="0.2">
      <c r="A407" s="9" t="s">
        <v>556</v>
      </c>
      <c r="B407" s="9" t="s">
        <v>13</v>
      </c>
      <c r="C407" s="9" t="s">
        <v>557</v>
      </c>
      <c r="D407" s="743" t="str">
        <f>HYPERLINK("https://cloud.mail.ru/public/eFB9/fEg5JVWoM","Ссылка")</f>
        <v>Ссылка</v>
      </c>
      <c r="E407" s="744" t="str">
        <f>HYPERLINK("https://adv-map.ru/place/?LINK=e2a7b140b240227909e6be92c738cee6","Ссылка")</f>
        <v>Ссылка</v>
      </c>
      <c r="F407" s="9" t="s">
        <v>558</v>
      </c>
      <c r="G407" s="10" t="s">
        <v>16</v>
      </c>
      <c r="H407" s="11">
        <v>31000</v>
      </c>
      <c r="I407" s="13" t="s">
        <v>26</v>
      </c>
    </row>
    <row r="408" spans="1:9" s="8" customFormat="1" ht="18" customHeight="1" outlineLevel="1" x14ac:dyDescent="0.2">
      <c r="A408" s="9" t="s">
        <v>556</v>
      </c>
      <c r="B408" s="9" t="s">
        <v>17</v>
      </c>
      <c r="C408" s="9" t="s">
        <v>557</v>
      </c>
      <c r="D408" s="745" t="str">
        <f>HYPERLINK("https://cloud.mail.ru/public/isQq/3TJuRhyZm","Ссылка")</f>
        <v>Ссылка</v>
      </c>
      <c r="E408" s="746" t="str">
        <f>HYPERLINK("https://adv-map.ru/place/?LINK=e983b6f2d7d80049eea9488871eec2ed","Ссылка")</f>
        <v>Ссылка</v>
      </c>
      <c r="F408" s="9" t="s">
        <v>558</v>
      </c>
      <c r="G408" s="10" t="s">
        <v>16</v>
      </c>
      <c r="H408" s="11">
        <v>27000</v>
      </c>
      <c r="I408" s="12"/>
    </row>
    <row r="409" spans="1:9" s="8" customFormat="1" ht="18" customHeight="1" outlineLevel="1" x14ac:dyDescent="0.2">
      <c r="A409" s="9" t="s">
        <v>559</v>
      </c>
      <c r="B409" s="9" t="s">
        <v>13</v>
      </c>
      <c r="C409" s="9" t="s">
        <v>560</v>
      </c>
      <c r="D409" s="747" t="str">
        <f>HYPERLINK("https://cloud.mail.ru/public/bgY1/VQXCkv6CM","Ссылка")</f>
        <v>Ссылка</v>
      </c>
      <c r="E409" s="748" t="str">
        <f>HYPERLINK("https://adv-map.ru/place/?LINK=12a6a07eceee2954b593b95b8f603d90","Ссылка")</f>
        <v>Ссылка</v>
      </c>
      <c r="F409" s="9" t="s">
        <v>561</v>
      </c>
      <c r="G409" s="10" t="s">
        <v>16</v>
      </c>
      <c r="H409" s="11">
        <v>31000</v>
      </c>
      <c r="I409" s="13" t="s">
        <v>26</v>
      </c>
    </row>
    <row r="410" spans="1:9" s="8" customFormat="1" ht="18" customHeight="1" outlineLevel="1" x14ac:dyDescent="0.2">
      <c r="A410" s="9" t="s">
        <v>559</v>
      </c>
      <c r="B410" s="9" t="s">
        <v>17</v>
      </c>
      <c r="C410" s="9" t="s">
        <v>560</v>
      </c>
      <c r="D410" s="749" t="str">
        <f>HYPERLINK("https://cloud.mail.ru/public/Pd3e/tai8xpyD3","Ссылка")</f>
        <v>Ссылка</v>
      </c>
      <c r="E410" s="750" t="str">
        <f>HYPERLINK("https://adv-map.ru/place/?LINK=c5bd2446eec99bf79aa70db15aa75af1","Ссылка")</f>
        <v>Ссылка</v>
      </c>
      <c r="F410" s="9" t="s">
        <v>561</v>
      </c>
      <c r="G410" s="10" t="s">
        <v>16</v>
      </c>
      <c r="H410" s="11">
        <v>29000</v>
      </c>
      <c r="I410" s="12"/>
    </row>
    <row r="411" spans="1:9" s="8" customFormat="1" ht="18" customHeight="1" outlineLevel="1" x14ac:dyDescent="0.2">
      <c r="A411" s="9" t="s">
        <v>562</v>
      </c>
      <c r="B411" s="9" t="s">
        <v>13</v>
      </c>
      <c r="C411" s="9" t="s">
        <v>563</v>
      </c>
      <c r="D411" s="751" t="str">
        <f>HYPERLINK("https://cloud.mail.ru/public/dWWF/PR5cpjpcZ","Ссылка")</f>
        <v>Ссылка</v>
      </c>
      <c r="E411" s="752" t="str">
        <f>HYPERLINK("https://adv-map.ru/place/?LINK=926e17f67142e9dedbee013f24930961","Ссылка")</f>
        <v>Ссылка</v>
      </c>
      <c r="F411" s="9" t="s">
        <v>564</v>
      </c>
      <c r="G411" s="10" t="s">
        <v>16</v>
      </c>
      <c r="H411" s="11">
        <v>31000</v>
      </c>
      <c r="I411" s="13" t="s">
        <v>26</v>
      </c>
    </row>
    <row r="412" spans="1:9" s="8" customFormat="1" ht="18" customHeight="1" outlineLevel="1" x14ac:dyDescent="0.2">
      <c r="A412" s="9" t="s">
        <v>562</v>
      </c>
      <c r="B412" s="9" t="s">
        <v>17</v>
      </c>
      <c r="C412" s="9" t="s">
        <v>563</v>
      </c>
      <c r="D412" s="753" t="str">
        <f>HYPERLINK("https://cloud.mail.ru/public/gMWt/cXufTLxGq","Ссылка")</f>
        <v>Ссылка</v>
      </c>
      <c r="E412" s="754" t="str">
        <f>HYPERLINK("https://adv-map.ru/place/?LINK=d9a3702b2e2dcad1a359c05f066ac058","Ссылка")</f>
        <v>Ссылка</v>
      </c>
      <c r="F412" s="9" t="s">
        <v>564</v>
      </c>
      <c r="G412" s="10" t="s">
        <v>16</v>
      </c>
      <c r="H412" s="11">
        <v>27000</v>
      </c>
      <c r="I412" s="12"/>
    </row>
    <row r="413" spans="1:9" s="8" customFormat="1" ht="18" customHeight="1" outlineLevel="1" x14ac:dyDescent="0.2">
      <c r="A413" s="9" t="s">
        <v>565</v>
      </c>
      <c r="B413" s="9" t="s">
        <v>13</v>
      </c>
      <c r="C413" s="9" t="s">
        <v>566</v>
      </c>
      <c r="D413" s="755" t="str">
        <f>HYPERLINK("https://cloud.mail.ru/public/LPTr/Ugntt7q18","Ссылка")</f>
        <v>Ссылка</v>
      </c>
      <c r="E413" s="756" t="str">
        <f>HYPERLINK("https://adv-map.ru/place/?LINK=37780ac2107f190826976eb0c8ea4315","Ссылка")</f>
        <v>Ссылка</v>
      </c>
      <c r="F413" s="9" t="s">
        <v>567</v>
      </c>
      <c r="G413" s="10" t="s">
        <v>16</v>
      </c>
      <c r="H413" s="11">
        <v>29000</v>
      </c>
      <c r="I413" s="13" t="s">
        <v>74</v>
      </c>
    </row>
    <row r="414" spans="1:9" s="8" customFormat="1" ht="18" customHeight="1" outlineLevel="1" x14ac:dyDescent="0.2">
      <c r="A414" s="9" t="s">
        <v>565</v>
      </c>
      <c r="B414" s="9" t="s">
        <v>17</v>
      </c>
      <c r="C414" s="9" t="s">
        <v>566</v>
      </c>
      <c r="D414" s="757" t="str">
        <f>HYPERLINK("https://cloud.mail.ru/public/UPrN/tvf2zrUh4","Ссылка")</f>
        <v>Ссылка</v>
      </c>
      <c r="E414" s="758" t="str">
        <f>HYPERLINK("https://adv-map.ru/place/?LINK=38836810087faf614131505e1a89c64d","Ссылка")</f>
        <v>Ссылка</v>
      </c>
      <c r="F414" s="9" t="s">
        <v>567</v>
      </c>
      <c r="G414" s="10" t="s">
        <v>16</v>
      </c>
      <c r="H414" s="11">
        <v>29000</v>
      </c>
      <c r="I414" s="12"/>
    </row>
    <row r="415" spans="1:9" s="8" customFormat="1" ht="18" customHeight="1" outlineLevel="1" x14ac:dyDescent="0.2">
      <c r="A415" s="9" t="s">
        <v>568</v>
      </c>
      <c r="B415" s="9" t="s">
        <v>13</v>
      </c>
      <c r="C415" s="9" t="s">
        <v>569</v>
      </c>
      <c r="D415" s="759" t="str">
        <f>HYPERLINK("https://cloud.mail.ru/public/UDcS/NrAV2AKg1","Ссылка")</f>
        <v>Ссылка</v>
      </c>
      <c r="E415" s="760" t="str">
        <f>HYPERLINK("https://adv-map.ru/place/?LINK=0873c203e607eb727b5b2c790a663ba5","Ссылка")</f>
        <v>Ссылка</v>
      </c>
      <c r="F415" s="9" t="s">
        <v>570</v>
      </c>
      <c r="G415" s="10" t="s">
        <v>16</v>
      </c>
      <c r="H415" s="11">
        <v>33000</v>
      </c>
      <c r="I415" s="12"/>
    </row>
    <row r="416" spans="1:9" s="8" customFormat="1" ht="18" customHeight="1" outlineLevel="1" x14ac:dyDescent="0.2">
      <c r="A416" s="9" t="s">
        <v>568</v>
      </c>
      <c r="B416" s="9" t="s">
        <v>17</v>
      </c>
      <c r="C416" s="9" t="s">
        <v>569</v>
      </c>
      <c r="D416" s="761" t="str">
        <f>HYPERLINK("https://cloud.mail.ru/public/VWKs/e5bFwHHP2","Ссылка")</f>
        <v>Ссылка</v>
      </c>
      <c r="E416" s="762" t="str">
        <f>HYPERLINK("https://adv-map.ru/place/?LINK=3d681e26d5ab68a54e642c110e55ebf8","Ссылка")</f>
        <v>Ссылка</v>
      </c>
      <c r="F416" s="9" t="s">
        <v>570</v>
      </c>
      <c r="G416" s="10" t="s">
        <v>16</v>
      </c>
      <c r="H416" s="11">
        <v>30000</v>
      </c>
      <c r="I416" s="13" t="s">
        <v>26</v>
      </c>
    </row>
    <row r="417" spans="1:9" s="8" customFormat="1" ht="18" customHeight="1" outlineLevel="1" x14ac:dyDescent="0.2">
      <c r="A417" s="9" t="s">
        <v>571</v>
      </c>
      <c r="B417" s="9" t="s">
        <v>13</v>
      </c>
      <c r="C417" s="9" t="s">
        <v>572</v>
      </c>
      <c r="D417" s="763" t="str">
        <f>HYPERLINK("https://cloud.mail.ru/public/VyBK/DKZBUfEvH","Ссылка")</f>
        <v>Ссылка</v>
      </c>
      <c r="E417" s="764" t="str">
        <f>HYPERLINK("https://adv-map.ru/place/?LINK=3892ce701262a2ba2d02af87bb05a09e","Ссылка")</f>
        <v>Ссылка</v>
      </c>
      <c r="F417" s="9" t="s">
        <v>573</v>
      </c>
      <c r="G417" s="10" t="s">
        <v>16</v>
      </c>
      <c r="H417" s="11">
        <v>33000</v>
      </c>
      <c r="I417" s="13" t="s">
        <v>26</v>
      </c>
    </row>
    <row r="418" spans="1:9" s="8" customFormat="1" ht="18" customHeight="1" outlineLevel="1" x14ac:dyDescent="0.2">
      <c r="A418" s="9" t="s">
        <v>571</v>
      </c>
      <c r="B418" s="9" t="s">
        <v>17</v>
      </c>
      <c r="C418" s="9" t="s">
        <v>572</v>
      </c>
      <c r="D418" s="765" t="str">
        <f>HYPERLINK("https://cloud.mail.ru/public/FUD5/tuD13dnaJ","Ссылка")</f>
        <v>Ссылка</v>
      </c>
      <c r="E418" s="766" t="str">
        <f>HYPERLINK("https://adv-map.ru/place/?LINK=098d83d838456cf630c2b4ae6c77f8f9","Ссылка")</f>
        <v>Ссылка</v>
      </c>
      <c r="F418" s="9" t="s">
        <v>573</v>
      </c>
      <c r="G418" s="10" t="s">
        <v>16</v>
      </c>
      <c r="H418" s="11">
        <v>30000</v>
      </c>
      <c r="I418" s="13" t="s">
        <v>26</v>
      </c>
    </row>
    <row r="419" spans="1:9" s="8" customFormat="1" ht="18" customHeight="1" outlineLevel="1" x14ac:dyDescent="0.2">
      <c r="A419" s="9" t="s">
        <v>574</v>
      </c>
      <c r="B419" s="9" t="s">
        <v>22</v>
      </c>
      <c r="C419" s="9" t="s">
        <v>575</v>
      </c>
      <c r="D419" s="767" t="str">
        <f>HYPERLINK("https://cloud.mail.ru/public/2E3L/qZdWb4vNp","Ссылка")</f>
        <v>Ссылка</v>
      </c>
      <c r="E419" s="768" t="str">
        <f>HYPERLINK("https://adv-map.ru/place/?LINK=47b0a7b5bc04a6a59e8a980df3cf46b8","Ссылка")</f>
        <v>Ссылка</v>
      </c>
      <c r="F419" s="9" t="s">
        <v>576</v>
      </c>
      <c r="G419" s="10" t="s">
        <v>51</v>
      </c>
      <c r="H419" s="11">
        <v>29000</v>
      </c>
      <c r="I419" s="12"/>
    </row>
    <row r="420" spans="1:9" s="8" customFormat="1" ht="18" customHeight="1" outlineLevel="1" x14ac:dyDescent="0.2">
      <c r="A420" s="9" t="s">
        <v>574</v>
      </c>
      <c r="B420" s="9" t="s">
        <v>27</v>
      </c>
      <c r="C420" s="9" t="s">
        <v>575</v>
      </c>
      <c r="D420" s="767" t="str">
        <f>HYPERLINK("https://cloud.mail.ru/public/2E3L/qZdWb4vNp","Ссылка")</f>
        <v>Ссылка</v>
      </c>
      <c r="E420" s="769" t="str">
        <f>HYPERLINK("https://adv-map.ru/place/?LINK=671c168d9b1509f6a236c917e6caf3ab","Ссылка")</f>
        <v>Ссылка</v>
      </c>
      <c r="F420" s="9" t="s">
        <v>576</v>
      </c>
      <c r="G420" s="10" t="s">
        <v>51</v>
      </c>
      <c r="H420" s="11">
        <v>29000</v>
      </c>
      <c r="I420" s="13" t="s">
        <v>26</v>
      </c>
    </row>
    <row r="421" spans="1:9" s="8" customFormat="1" ht="18" customHeight="1" outlineLevel="1" x14ac:dyDescent="0.2">
      <c r="A421" s="9" t="s">
        <v>574</v>
      </c>
      <c r="B421" s="9" t="s">
        <v>28</v>
      </c>
      <c r="C421" s="9" t="s">
        <v>575</v>
      </c>
      <c r="D421" s="767" t="str">
        <f>HYPERLINK("https://cloud.mail.ru/public/2E3L/qZdWb4vNp","Ссылка")</f>
        <v>Ссылка</v>
      </c>
      <c r="E421" s="770" t="str">
        <f>HYPERLINK("https://adv-map.ru/place/?LINK=f8b85d21000f53331c3e041e0b2fc4c1","Ссылка")</f>
        <v>Ссылка</v>
      </c>
      <c r="F421" s="9" t="s">
        <v>576</v>
      </c>
      <c r="G421" s="10" t="s">
        <v>51</v>
      </c>
      <c r="H421" s="11">
        <v>29000</v>
      </c>
      <c r="I421" s="12"/>
    </row>
    <row r="422" spans="1:9" s="8" customFormat="1" ht="18" customHeight="1" outlineLevel="1" x14ac:dyDescent="0.2">
      <c r="A422" s="9" t="s">
        <v>574</v>
      </c>
      <c r="B422" s="9" t="s">
        <v>17</v>
      </c>
      <c r="C422" s="9" t="s">
        <v>575</v>
      </c>
      <c r="D422" s="771" t="str">
        <f>HYPERLINK("https://cloud.mail.ru/public/Xyw6/A2jM9onLr","Ссылка")</f>
        <v>Ссылка</v>
      </c>
      <c r="E422" s="772" t="str">
        <f>HYPERLINK("https://adv-map.ru/place/?LINK=e7e6832f7c1c0f3cf4cf6a0d0e5808d9","Ссылка")</f>
        <v>Ссылка</v>
      </c>
      <c r="F422" s="9" t="s">
        <v>576</v>
      </c>
      <c r="G422" s="10" t="s">
        <v>16</v>
      </c>
      <c r="H422" s="11">
        <v>31000</v>
      </c>
      <c r="I422" s="13" t="s">
        <v>86</v>
      </c>
    </row>
    <row r="423" spans="1:9" s="8" customFormat="1" ht="18" customHeight="1" outlineLevel="1" x14ac:dyDescent="0.2">
      <c r="A423" s="9" t="s">
        <v>577</v>
      </c>
      <c r="B423" s="9" t="s">
        <v>13</v>
      </c>
      <c r="C423" s="9" t="s">
        <v>578</v>
      </c>
      <c r="D423" s="773" t="str">
        <f>HYPERLINK("https://cloud.mail.ru/public/s5kG/Rz1i81gSo","Ссылка")</f>
        <v>Ссылка</v>
      </c>
      <c r="E423" s="774" t="str">
        <f>HYPERLINK("https://adv-map.ru/place/?LINK=6e692eb0e68471c3f5a48ccc6693403c","Ссылка")</f>
        <v>Ссылка</v>
      </c>
      <c r="F423" s="9" t="s">
        <v>579</v>
      </c>
      <c r="G423" s="10" t="s">
        <v>16</v>
      </c>
      <c r="H423" s="11">
        <v>33000</v>
      </c>
      <c r="I423" s="13" t="s">
        <v>26</v>
      </c>
    </row>
    <row r="424" spans="1:9" s="8" customFormat="1" ht="18" customHeight="1" outlineLevel="1" x14ac:dyDescent="0.2">
      <c r="A424" s="9" t="s">
        <v>577</v>
      </c>
      <c r="B424" s="9" t="s">
        <v>17</v>
      </c>
      <c r="C424" s="9" t="s">
        <v>578</v>
      </c>
      <c r="D424" s="775" t="str">
        <f>HYPERLINK("https://cloud.mail.ru/public/nMLQ/a2iGz9LhG","Ссылка")</f>
        <v>Ссылка</v>
      </c>
      <c r="E424" s="776" t="str">
        <f>HYPERLINK("https://adv-map.ru/place/?LINK=d752ce3919e14f2a511d51c1840b9df9","Ссылка")</f>
        <v>Ссылка</v>
      </c>
      <c r="F424" s="9" t="s">
        <v>579</v>
      </c>
      <c r="G424" s="10" t="s">
        <v>16</v>
      </c>
      <c r="H424" s="11">
        <v>27000</v>
      </c>
      <c r="I424" s="13" t="s">
        <v>26</v>
      </c>
    </row>
    <row r="425" spans="1:9" s="8" customFormat="1" ht="18" customHeight="1" outlineLevel="1" x14ac:dyDescent="0.2">
      <c r="A425" s="9" t="s">
        <v>580</v>
      </c>
      <c r="B425" s="9" t="s">
        <v>13</v>
      </c>
      <c r="C425" s="9" t="s">
        <v>581</v>
      </c>
      <c r="D425" s="777" t="str">
        <f>HYPERLINK("https://cloud.mail.ru/public/qZN1/sJFdZP5Xh","Ссылка")</f>
        <v>Ссылка</v>
      </c>
      <c r="E425" s="778" t="str">
        <f>HYPERLINK("https://adv-map.ru/place/?LINK=161c03b05c80405ea0d6ef82bc14d413","Ссылка")</f>
        <v>Ссылка</v>
      </c>
      <c r="F425" s="9" t="s">
        <v>582</v>
      </c>
      <c r="G425" s="10" t="s">
        <v>16</v>
      </c>
      <c r="H425" s="11">
        <v>31000</v>
      </c>
      <c r="I425" s="12"/>
    </row>
    <row r="426" spans="1:9" s="8" customFormat="1" ht="18" customHeight="1" outlineLevel="1" x14ac:dyDescent="0.2">
      <c r="A426" s="9" t="s">
        <v>580</v>
      </c>
      <c r="B426" s="9" t="s">
        <v>17</v>
      </c>
      <c r="C426" s="9" t="s">
        <v>581</v>
      </c>
      <c r="D426" s="779" t="str">
        <f>HYPERLINK("https://cloud.mail.ru/public/iZEf/KCvBSRWRv","Ссылка")</f>
        <v>Ссылка</v>
      </c>
      <c r="E426" s="780" t="str">
        <f>HYPERLINK("https://adv-map.ru/place/?LINK=5517379abefddbd3adecd084053d34e0","Ссылка")</f>
        <v>Ссылка</v>
      </c>
      <c r="F426" s="9" t="s">
        <v>582</v>
      </c>
      <c r="G426" s="10" t="s">
        <v>16</v>
      </c>
      <c r="H426" s="11">
        <v>27000</v>
      </c>
      <c r="I426" s="12"/>
    </row>
    <row r="427" spans="1:9" s="8" customFormat="1" ht="18" customHeight="1" outlineLevel="1" x14ac:dyDescent="0.2">
      <c r="A427" s="9" t="s">
        <v>583</v>
      </c>
      <c r="B427" s="9" t="s">
        <v>22</v>
      </c>
      <c r="C427" s="9" t="s">
        <v>584</v>
      </c>
      <c r="D427" s="781" t="str">
        <f>HYPERLINK("https://cloud.mail.ru/public/pb8m/z3mSxDKBS","Ссылка")</f>
        <v>Ссылка</v>
      </c>
      <c r="E427" s="782" t="str">
        <f>HYPERLINK("https://adv-map.ru/place/?LINK=1878fbc129450f10bb2b8b278794031f","Ссылка")</f>
        <v>Ссылка</v>
      </c>
      <c r="F427" s="9" t="s">
        <v>585</v>
      </c>
      <c r="G427" s="10" t="s">
        <v>51</v>
      </c>
      <c r="H427" s="11">
        <v>36000</v>
      </c>
      <c r="I427" s="13" t="s">
        <v>26</v>
      </c>
    </row>
    <row r="428" spans="1:9" s="8" customFormat="1" ht="18" customHeight="1" outlineLevel="1" x14ac:dyDescent="0.2">
      <c r="A428" s="9" t="s">
        <v>583</v>
      </c>
      <c r="B428" s="9" t="s">
        <v>27</v>
      </c>
      <c r="C428" s="9" t="s">
        <v>584</v>
      </c>
      <c r="D428" s="781" t="str">
        <f>HYPERLINK("https://cloud.mail.ru/public/pb8m/z3mSxDKBS","Ссылка")</f>
        <v>Ссылка</v>
      </c>
      <c r="E428" s="783" t="str">
        <f>HYPERLINK("https://adv-map.ru/place/?LINK=05e0e956f3bd235770a1df8ba41faad7","Ссылка")</f>
        <v>Ссылка</v>
      </c>
      <c r="F428" s="9" t="s">
        <v>585</v>
      </c>
      <c r="G428" s="10" t="s">
        <v>51</v>
      </c>
      <c r="H428" s="11">
        <v>36000</v>
      </c>
      <c r="I428" s="13" t="s">
        <v>26</v>
      </c>
    </row>
    <row r="429" spans="1:9" s="8" customFormat="1" ht="18" customHeight="1" outlineLevel="1" x14ac:dyDescent="0.2">
      <c r="A429" s="9" t="s">
        <v>583</v>
      </c>
      <c r="B429" s="9" t="s">
        <v>28</v>
      </c>
      <c r="C429" s="9" t="s">
        <v>584</v>
      </c>
      <c r="D429" s="781" t="str">
        <f>HYPERLINK("https://cloud.mail.ru/public/pb8m/z3mSxDKBS","Ссылка")</f>
        <v>Ссылка</v>
      </c>
      <c r="E429" s="784" t="str">
        <f>HYPERLINK("https://adv-map.ru/place/?LINK=da9aa39e6652cee57c2c968c17f634e1","Ссылка")</f>
        <v>Ссылка</v>
      </c>
      <c r="F429" s="9" t="s">
        <v>585</v>
      </c>
      <c r="G429" s="10" t="s">
        <v>51</v>
      </c>
      <c r="H429" s="11">
        <v>36000</v>
      </c>
      <c r="I429" s="13" t="s">
        <v>26</v>
      </c>
    </row>
    <row r="430" spans="1:9" s="8" customFormat="1" ht="18" customHeight="1" outlineLevel="1" x14ac:dyDescent="0.2">
      <c r="A430" s="9" t="s">
        <v>583</v>
      </c>
      <c r="B430" s="9" t="s">
        <v>17</v>
      </c>
      <c r="C430" s="9" t="s">
        <v>584</v>
      </c>
      <c r="D430" s="785" t="str">
        <f>HYPERLINK("https://cloud.mail.ru/public/BvLB/HFn6FZNj1","Ссылка")</f>
        <v>Ссылка</v>
      </c>
      <c r="E430" s="786" t="str">
        <f>HYPERLINK("https://adv-map.ru/place/?LINK=d17f98b6f4f65d1bd3dc99615707c125","Ссылка")</f>
        <v>Ссылка</v>
      </c>
      <c r="F430" s="9" t="s">
        <v>585</v>
      </c>
      <c r="G430" s="10" t="s">
        <v>16</v>
      </c>
      <c r="H430" s="11">
        <v>27000</v>
      </c>
      <c r="I430" s="13" t="s">
        <v>26</v>
      </c>
    </row>
    <row r="431" spans="1:9" s="8" customFormat="1" ht="18" customHeight="1" outlineLevel="1" x14ac:dyDescent="0.2">
      <c r="A431" s="9" t="s">
        <v>586</v>
      </c>
      <c r="B431" s="9" t="s">
        <v>22</v>
      </c>
      <c r="C431" s="9" t="s">
        <v>587</v>
      </c>
      <c r="D431" s="787" t="str">
        <f>HYPERLINK("https://cloud.mail.ru/public/V3nb/y3FPBm85c","Ссылка")</f>
        <v>Ссылка</v>
      </c>
      <c r="E431" s="788" t="str">
        <f>HYPERLINK("https://adv-map.ru/place/?LINK=985311b5e3082ec42df4af21fc159288","Ссылка")</f>
        <v>Ссылка</v>
      </c>
      <c r="F431" s="9" t="s">
        <v>588</v>
      </c>
      <c r="G431" s="10" t="s">
        <v>51</v>
      </c>
      <c r="H431" s="11">
        <v>27500</v>
      </c>
      <c r="I431" s="12"/>
    </row>
    <row r="432" spans="1:9" s="8" customFormat="1" ht="18" customHeight="1" outlineLevel="1" x14ac:dyDescent="0.2">
      <c r="A432" s="9" t="s">
        <v>586</v>
      </c>
      <c r="B432" s="9" t="s">
        <v>27</v>
      </c>
      <c r="C432" s="9" t="s">
        <v>587</v>
      </c>
      <c r="D432" s="787" t="str">
        <f>HYPERLINK("https://cloud.mail.ru/public/V3nb/y3FPBm85c","Ссылка")</f>
        <v>Ссылка</v>
      </c>
      <c r="E432" s="789" t="str">
        <f>HYPERLINK("https://adv-map.ru/place/?LINK=5ef42338d7f05343d081453b51016f45","Ссылка")</f>
        <v>Ссылка</v>
      </c>
      <c r="F432" s="9" t="s">
        <v>588</v>
      </c>
      <c r="G432" s="10" t="s">
        <v>51</v>
      </c>
      <c r="H432" s="11">
        <v>27500</v>
      </c>
      <c r="I432" s="12"/>
    </row>
    <row r="433" spans="1:9" s="8" customFormat="1" ht="18" customHeight="1" outlineLevel="1" x14ac:dyDescent="0.2">
      <c r="A433" s="9" t="s">
        <v>586</v>
      </c>
      <c r="B433" s="9" t="s">
        <v>28</v>
      </c>
      <c r="C433" s="9" t="s">
        <v>587</v>
      </c>
      <c r="D433" s="787" t="str">
        <f>HYPERLINK("https://cloud.mail.ru/public/V3nb/y3FPBm85c","Ссылка")</f>
        <v>Ссылка</v>
      </c>
      <c r="E433" s="790" t="str">
        <f>HYPERLINK("https://adv-map.ru/place/?LINK=e10c686151166faf115cfc4130a34d42","Ссылка")</f>
        <v>Ссылка</v>
      </c>
      <c r="F433" s="9" t="s">
        <v>588</v>
      </c>
      <c r="G433" s="10" t="s">
        <v>51</v>
      </c>
      <c r="H433" s="11">
        <v>27500</v>
      </c>
      <c r="I433" s="13" t="s">
        <v>26</v>
      </c>
    </row>
    <row r="434" spans="1:9" s="8" customFormat="1" ht="18" customHeight="1" outlineLevel="1" x14ac:dyDescent="0.2">
      <c r="A434" s="9" t="s">
        <v>586</v>
      </c>
      <c r="B434" s="9" t="s">
        <v>17</v>
      </c>
      <c r="C434" s="9" t="s">
        <v>587</v>
      </c>
      <c r="D434" s="791" t="str">
        <f>HYPERLINK("https://cloud.mail.ru/public/v2XY/mpYQrNaxc","Ссылка")</f>
        <v>Ссылка</v>
      </c>
      <c r="E434" s="792" t="str">
        <f>HYPERLINK("https://adv-map.ru/place/?LINK=b2cca6364b5af7279c340329268ee96f","Ссылка")</f>
        <v>Ссылка</v>
      </c>
      <c r="F434" s="9" t="s">
        <v>588</v>
      </c>
      <c r="G434" s="10" t="s">
        <v>16</v>
      </c>
      <c r="H434" s="11">
        <v>33000</v>
      </c>
      <c r="I434" s="13" t="s">
        <v>26</v>
      </c>
    </row>
    <row r="435" spans="1:9" s="8" customFormat="1" ht="18" customHeight="1" outlineLevel="1" x14ac:dyDescent="0.2">
      <c r="A435" s="9" t="s">
        <v>589</v>
      </c>
      <c r="B435" s="9" t="s">
        <v>13</v>
      </c>
      <c r="C435" s="9" t="s">
        <v>590</v>
      </c>
      <c r="D435" s="793" t="str">
        <f>HYPERLINK("https://cloud.mail.ru/public/qSkC/oqnvyyu7E","Ссылка")</f>
        <v>Ссылка</v>
      </c>
      <c r="E435" s="794" t="str">
        <f>HYPERLINK("https://adv-map.ru/place/?LINK=8ec25f61ce385df1a758eb966bc80b5b","Ссылка")</f>
        <v>Ссылка</v>
      </c>
      <c r="F435" s="9" t="s">
        <v>591</v>
      </c>
      <c r="G435" s="10" t="s">
        <v>16</v>
      </c>
      <c r="H435" s="11">
        <v>31000</v>
      </c>
      <c r="I435" s="13" t="s">
        <v>26</v>
      </c>
    </row>
    <row r="436" spans="1:9" s="8" customFormat="1" ht="18" customHeight="1" outlineLevel="1" x14ac:dyDescent="0.2">
      <c r="A436" s="9" t="s">
        <v>589</v>
      </c>
      <c r="B436" s="9" t="s">
        <v>17</v>
      </c>
      <c r="C436" s="9" t="s">
        <v>590</v>
      </c>
      <c r="D436" s="795" t="str">
        <f>HYPERLINK("https://cloud.mail.ru/public/9yhM/5V5ksANN2","Ссылка")</f>
        <v>Ссылка</v>
      </c>
      <c r="E436" s="796" t="str">
        <f>HYPERLINK("https://adv-map.ru/place/?LINK=4f2449c40b5a87876e6cc68c30446f87","Ссылка")</f>
        <v>Ссылка</v>
      </c>
      <c r="F436" s="9" t="s">
        <v>591</v>
      </c>
      <c r="G436" s="10" t="s">
        <v>16</v>
      </c>
      <c r="H436" s="11">
        <v>27000</v>
      </c>
      <c r="I436" s="12"/>
    </row>
    <row r="437" spans="1:9" s="8" customFormat="1" ht="18" customHeight="1" outlineLevel="1" x14ac:dyDescent="0.2">
      <c r="A437" s="9" t="s">
        <v>592</v>
      </c>
      <c r="B437" s="9" t="s">
        <v>13</v>
      </c>
      <c r="C437" s="9" t="s">
        <v>593</v>
      </c>
      <c r="D437" s="797" t="str">
        <f>HYPERLINK("https://cloud.mail.ru/public/shCE/4FySUx9N4","Ссылка")</f>
        <v>Ссылка</v>
      </c>
      <c r="E437" s="798" t="str">
        <f>HYPERLINK("https://adv-map.ru/place/?LINK=f1f9fad90de9390634f22cdd002b9e77","Ссылка")</f>
        <v>Ссылка</v>
      </c>
      <c r="F437" s="9" t="s">
        <v>594</v>
      </c>
      <c r="G437" s="10" t="s">
        <v>16</v>
      </c>
      <c r="H437" s="11">
        <v>31000</v>
      </c>
      <c r="I437" s="13" t="s">
        <v>26</v>
      </c>
    </row>
    <row r="438" spans="1:9" s="8" customFormat="1" ht="18" customHeight="1" outlineLevel="1" x14ac:dyDescent="0.2">
      <c r="A438" s="9" t="s">
        <v>592</v>
      </c>
      <c r="B438" s="9" t="s">
        <v>17</v>
      </c>
      <c r="C438" s="9" t="s">
        <v>595</v>
      </c>
      <c r="D438" s="799" t="str">
        <f>HYPERLINK("https://cloud.mail.ru/public/MA23/baQpr7hfE","Ссылка")</f>
        <v>Ссылка</v>
      </c>
      <c r="E438" s="800" t="str">
        <f>HYPERLINK("https://adv-map.ru/place/?LINK=de09308936e1efbd2beaa093e76b5c63","Ссылка")</f>
        <v>Ссылка</v>
      </c>
      <c r="F438" s="9" t="s">
        <v>594</v>
      </c>
      <c r="G438" s="10" t="s">
        <v>16</v>
      </c>
      <c r="H438" s="11">
        <v>27000</v>
      </c>
      <c r="I438" s="12"/>
    </row>
    <row r="439" spans="1:9" s="8" customFormat="1" ht="18" customHeight="1" outlineLevel="1" x14ac:dyDescent="0.2">
      <c r="A439" s="9" t="s">
        <v>596</v>
      </c>
      <c r="B439" s="9" t="s">
        <v>13</v>
      </c>
      <c r="C439" s="9" t="s">
        <v>597</v>
      </c>
      <c r="D439" s="801" t="str">
        <f>HYPERLINK("https://cloud.mail.ru/public/3N43/DvhJ1eaNZ","Ссылка")</f>
        <v>Ссылка</v>
      </c>
      <c r="E439" s="802" t="str">
        <f>HYPERLINK("https://adv-map.ru/place/?LINK=a5d9f0aa02ef2f9bb63f8ac72f61d240","Ссылка")</f>
        <v>Ссылка</v>
      </c>
      <c r="F439" s="9" t="s">
        <v>598</v>
      </c>
      <c r="G439" s="10" t="s">
        <v>16</v>
      </c>
      <c r="H439" s="11">
        <v>33000</v>
      </c>
      <c r="I439" s="13" t="s">
        <v>26</v>
      </c>
    </row>
    <row r="440" spans="1:9" s="8" customFormat="1" ht="18" customHeight="1" outlineLevel="1" x14ac:dyDescent="0.2">
      <c r="A440" s="9" t="s">
        <v>596</v>
      </c>
      <c r="B440" s="9" t="s">
        <v>17</v>
      </c>
      <c r="C440" s="9" t="s">
        <v>597</v>
      </c>
      <c r="D440" s="803" t="str">
        <f>HYPERLINK("https://cloud.mail.ru/public/9drQ/FcsVVDmQq","Ссылка")</f>
        <v>Ссылка</v>
      </c>
      <c r="E440" s="804" t="str">
        <f>HYPERLINK("https://adv-map.ru/place/?LINK=c38ca8c39893b7b093ebc8a7512252cc","Ссылка")</f>
        <v>Ссылка</v>
      </c>
      <c r="F440" s="9" t="s">
        <v>598</v>
      </c>
      <c r="G440" s="10" t="s">
        <v>16</v>
      </c>
      <c r="H440" s="11">
        <v>27000</v>
      </c>
      <c r="I440" s="12"/>
    </row>
    <row r="441" spans="1:9" s="8" customFormat="1" ht="18" customHeight="1" outlineLevel="1" x14ac:dyDescent="0.2">
      <c r="A441" s="9" t="s">
        <v>599</v>
      </c>
      <c r="B441" s="9" t="s">
        <v>22</v>
      </c>
      <c r="C441" s="9" t="s">
        <v>600</v>
      </c>
      <c r="D441" s="805" t="str">
        <f>HYPERLINK("https://cloud.mail.ru/public/HSeV/qx9aq7Z6N","Ссылка")</f>
        <v>Ссылка</v>
      </c>
      <c r="E441" s="806" t="str">
        <f>HYPERLINK("https://adv-map.ru/place/?LINK=22202eaf4418b5111d42f57e5ac817fd","Ссылка")</f>
        <v>Ссылка</v>
      </c>
      <c r="F441" s="9" t="s">
        <v>601</v>
      </c>
      <c r="G441" s="10" t="s">
        <v>51</v>
      </c>
      <c r="H441" s="11">
        <v>29000</v>
      </c>
      <c r="I441" s="12"/>
    </row>
    <row r="442" spans="1:9" s="8" customFormat="1" ht="18" customHeight="1" outlineLevel="1" x14ac:dyDescent="0.2">
      <c r="A442" s="9" t="s">
        <v>599</v>
      </c>
      <c r="B442" s="9" t="s">
        <v>27</v>
      </c>
      <c r="C442" s="9" t="s">
        <v>600</v>
      </c>
      <c r="D442" s="805" t="str">
        <f>HYPERLINK("https://cloud.mail.ru/public/HSeV/qx9aq7Z6N","Ссылка")</f>
        <v>Ссылка</v>
      </c>
      <c r="E442" s="807" t="str">
        <f>HYPERLINK("https://adv-map.ru/place/?LINK=09dc5bd811c287da59cb16be1f0d328d","Ссылка")</f>
        <v>Ссылка</v>
      </c>
      <c r="F442" s="9" t="s">
        <v>601</v>
      </c>
      <c r="G442" s="10" t="s">
        <v>51</v>
      </c>
      <c r="H442" s="11">
        <v>29000</v>
      </c>
      <c r="I442" s="13" t="s">
        <v>26</v>
      </c>
    </row>
    <row r="443" spans="1:9" s="8" customFormat="1" ht="18" customHeight="1" outlineLevel="1" x14ac:dyDescent="0.2">
      <c r="A443" s="9" t="s">
        <v>599</v>
      </c>
      <c r="B443" s="9" t="s">
        <v>28</v>
      </c>
      <c r="C443" s="9" t="s">
        <v>600</v>
      </c>
      <c r="D443" s="805" t="str">
        <f>HYPERLINK("https://cloud.mail.ru/public/HSeV/qx9aq7Z6N","Ссылка")</f>
        <v>Ссылка</v>
      </c>
      <c r="E443" s="808" t="str">
        <f>HYPERLINK("https://adv-map.ru/place/?LINK=cf82888f1e5ba78c20c9409a37753134","Ссылка")</f>
        <v>Ссылка</v>
      </c>
      <c r="F443" s="9" t="s">
        <v>601</v>
      </c>
      <c r="G443" s="10" t="s">
        <v>51</v>
      </c>
      <c r="H443" s="11">
        <v>29000</v>
      </c>
      <c r="I443" s="13" t="s">
        <v>26</v>
      </c>
    </row>
    <row r="444" spans="1:9" s="8" customFormat="1" ht="18" customHeight="1" outlineLevel="1" x14ac:dyDescent="0.2">
      <c r="A444" s="9" t="s">
        <v>599</v>
      </c>
      <c r="B444" s="9" t="s">
        <v>17</v>
      </c>
      <c r="C444" s="9" t="s">
        <v>600</v>
      </c>
      <c r="D444" s="809" t="str">
        <f>HYPERLINK("https://cloud.mail.ru/public/F8C8/uAY4oujfV","Ссылка")</f>
        <v>Ссылка</v>
      </c>
      <c r="E444" s="810" t="str">
        <f>HYPERLINK("https://adv-map.ru/place/?LINK=ffe051d1796c657b4e2866dc084f5df0","Ссылка")</f>
        <v>Ссылка</v>
      </c>
      <c r="F444" s="9" t="s">
        <v>601</v>
      </c>
      <c r="G444" s="10" t="s">
        <v>16</v>
      </c>
      <c r="H444" s="11">
        <v>33000</v>
      </c>
      <c r="I444" s="13" t="s">
        <v>26</v>
      </c>
    </row>
    <row r="445" spans="1:9" s="8" customFormat="1" ht="18" customHeight="1" outlineLevel="1" x14ac:dyDescent="0.2">
      <c r="A445" s="9" t="s">
        <v>602</v>
      </c>
      <c r="B445" s="9" t="s">
        <v>13</v>
      </c>
      <c r="C445" s="9" t="s">
        <v>603</v>
      </c>
      <c r="D445" s="811" t="str">
        <f>HYPERLINK("https://cloud.mail.ru/public/z7p1/uojJ9dbep","Ссылка")</f>
        <v>Ссылка</v>
      </c>
      <c r="E445" s="812" t="str">
        <f>HYPERLINK("https://adv-map.ru/place/?LINK=29cda0cbb3af037b923b224fa29ad28c","Ссылка")</f>
        <v>Ссылка</v>
      </c>
      <c r="F445" s="9" t="s">
        <v>604</v>
      </c>
      <c r="G445" s="10" t="s">
        <v>16</v>
      </c>
      <c r="H445" s="11">
        <v>33000</v>
      </c>
      <c r="I445" s="13" t="s">
        <v>26</v>
      </c>
    </row>
    <row r="446" spans="1:9" s="8" customFormat="1" ht="18" customHeight="1" outlineLevel="1" x14ac:dyDescent="0.2">
      <c r="A446" s="9" t="s">
        <v>602</v>
      </c>
      <c r="B446" s="9" t="s">
        <v>17</v>
      </c>
      <c r="C446" s="9" t="s">
        <v>603</v>
      </c>
      <c r="D446" s="813" t="str">
        <f>HYPERLINK("https://cloud.mail.ru/public/M3Ut/M6ybgjA5F","Ссылка")</f>
        <v>Ссылка</v>
      </c>
      <c r="E446" s="814" t="str">
        <f>HYPERLINK("https://adv-map.ru/place/?LINK=49946603de2e44bb37098c730d2998fb","Ссылка")</f>
        <v>Ссылка</v>
      </c>
      <c r="F446" s="9" t="s">
        <v>604</v>
      </c>
      <c r="G446" s="10" t="s">
        <v>16</v>
      </c>
      <c r="H446" s="11">
        <v>27000</v>
      </c>
      <c r="I446" s="12"/>
    </row>
    <row r="447" spans="1:9" s="8" customFormat="1" ht="18" customHeight="1" outlineLevel="1" x14ac:dyDescent="0.2">
      <c r="A447" s="9" t="s">
        <v>605</v>
      </c>
      <c r="B447" s="9" t="s">
        <v>22</v>
      </c>
      <c r="C447" s="9" t="s">
        <v>606</v>
      </c>
      <c r="D447" s="815" t="str">
        <f>HYPERLINK("https://cloud.mail.ru/public/4TtW/6nHyA58Xm","Ссылка")</f>
        <v>Ссылка</v>
      </c>
      <c r="E447" s="816" t="str">
        <f>HYPERLINK("https://adv-map.ru/place/?LINK=21248fe5aefb6e2183b722b7f228f2a4","Ссылка")</f>
        <v>Ссылка</v>
      </c>
      <c r="F447" s="9" t="s">
        <v>607</v>
      </c>
      <c r="G447" s="10" t="s">
        <v>51</v>
      </c>
      <c r="H447" s="11">
        <v>29000</v>
      </c>
      <c r="I447" s="12"/>
    </row>
    <row r="448" spans="1:9" s="8" customFormat="1" ht="18" customHeight="1" outlineLevel="1" x14ac:dyDescent="0.2">
      <c r="A448" s="9" t="s">
        <v>605</v>
      </c>
      <c r="B448" s="9" t="s">
        <v>27</v>
      </c>
      <c r="C448" s="9" t="s">
        <v>603</v>
      </c>
      <c r="D448" s="815" t="str">
        <f>HYPERLINK("https://cloud.mail.ru/public/4TtW/6nHyA58Xm","Ссылка")</f>
        <v>Ссылка</v>
      </c>
      <c r="E448" s="817" t="str">
        <f>HYPERLINK("https://adv-map.ru/place/?LINK=a5932d86c50b77adcdd0a4e81bbfca0a","Ссылка")</f>
        <v>Ссылка</v>
      </c>
      <c r="F448" s="9" t="s">
        <v>607</v>
      </c>
      <c r="G448" s="10" t="s">
        <v>51</v>
      </c>
      <c r="H448" s="11">
        <v>29000</v>
      </c>
      <c r="I448" s="12"/>
    </row>
    <row r="449" spans="1:9" s="8" customFormat="1" ht="18" customHeight="1" outlineLevel="1" x14ac:dyDescent="0.2">
      <c r="A449" s="9" t="s">
        <v>605</v>
      </c>
      <c r="B449" s="9" t="s">
        <v>28</v>
      </c>
      <c r="C449" s="9" t="s">
        <v>603</v>
      </c>
      <c r="D449" s="815" t="str">
        <f>HYPERLINK("https://cloud.mail.ru/public/4TtW/6nHyA58Xm","Ссылка")</f>
        <v>Ссылка</v>
      </c>
      <c r="E449" s="818" t="str">
        <f>HYPERLINK("https://adv-map.ru/place/?LINK=a08c9c8b55a4b33565d38f7a8e4f42f4","Ссылка")</f>
        <v>Ссылка</v>
      </c>
      <c r="F449" s="9" t="s">
        <v>607</v>
      </c>
      <c r="G449" s="10" t="s">
        <v>51</v>
      </c>
      <c r="H449" s="11">
        <v>29000</v>
      </c>
      <c r="I449" s="12"/>
    </row>
    <row r="450" spans="1:9" s="8" customFormat="1" ht="18" customHeight="1" outlineLevel="1" x14ac:dyDescent="0.2">
      <c r="A450" s="9" t="s">
        <v>605</v>
      </c>
      <c r="B450" s="9" t="s">
        <v>17</v>
      </c>
      <c r="C450" s="9" t="s">
        <v>603</v>
      </c>
      <c r="D450" s="819" t="str">
        <f>HYPERLINK("https://cloud.mail.ru/public/uYY4/SuqppfY1P","Ссылка")</f>
        <v>Ссылка</v>
      </c>
      <c r="E450" s="820" t="str">
        <f>HYPERLINK("https://adv-map.ru/place/?LINK=f3709c2bf58efe07cfc90052459a0cb4","Ссылка")</f>
        <v>Ссылка</v>
      </c>
      <c r="F450" s="9" t="s">
        <v>607</v>
      </c>
      <c r="G450" s="10" t="s">
        <v>16</v>
      </c>
      <c r="H450" s="11">
        <v>33000</v>
      </c>
      <c r="I450" s="13" t="s">
        <v>26</v>
      </c>
    </row>
    <row r="451" spans="1:9" s="8" customFormat="1" ht="18" customHeight="1" outlineLevel="1" x14ac:dyDescent="0.2">
      <c r="A451" s="9" t="s">
        <v>608</v>
      </c>
      <c r="B451" s="9" t="s">
        <v>13</v>
      </c>
      <c r="C451" s="9" t="s">
        <v>609</v>
      </c>
      <c r="D451" s="821" t="str">
        <f>HYPERLINK("https://cloud.mail.ru/public/yio2/HzjeNma9K","Ссылка")</f>
        <v>Ссылка</v>
      </c>
      <c r="E451" s="822" t="str">
        <f>HYPERLINK("https://adv-map.ru/place/?LINK=a72a5b3771d3423dfe856e7238b9073e","Ссылка")</f>
        <v>Ссылка</v>
      </c>
      <c r="F451" s="9" t="s">
        <v>610</v>
      </c>
      <c r="G451" s="10" t="s">
        <v>16</v>
      </c>
      <c r="H451" s="11">
        <v>29000</v>
      </c>
      <c r="I451" s="13" t="s">
        <v>26</v>
      </c>
    </row>
    <row r="452" spans="1:9" s="8" customFormat="1" ht="18" customHeight="1" outlineLevel="1" x14ac:dyDescent="0.2">
      <c r="A452" s="9" t="s">
        <v>608</v>
      </c>
      <c r="B452" s="9" t="s">
        <v>17</v>
      </c>
      <c r="C452" s="9" t="s">
        <v>609</v>
      </c>
      <c r="D452" s="823" t="str">
        <f>HYPERLINK("https://cloud.mail.ru/public/4n4J/zt7FYXb7m","Ссылка")</f>
        <v>Ссылка</v>
      </c>
      <c r="E452" s="824" t="str">
        <f>HYPERLINK("https://adv-map.ru/place/?LINK=9703653955eecc02665cf4cf8967e41a","Ссылка")</f>
        <v>Ссылка</v>
      </c>
      <c r="F452" s="9" t="s">
        <v>610</v>
      </c>
      <c r="G452" s="10" t="s">
        <v>16</v>
      </c>
      <c r="H452" s="11">
        <v>27000</v>
      </c>
      <c r="I452" s="13" t="s">
        <v>26</v>
      </c>
    </row>
    <row r="453" spans="1:9" s="8" customFormat="1" ht="18" customHeight="1" outlineLevel="1" x14ac:dyDescent="0.2">
      <c r="A453" s="9" t="s">
        <v>611</v>
      </c>
      <c r="B453" s="9" t="s">
        <v>13</v>
      </c>
      <c r="C453" s="9" t="s">
        <v>612</v>
      </c>
      <c r="D453" s="825" t="str">
        <f>HYPERLINK("https://cloud.mail.ru/public/BEac/KsPop4coR","Ссылка")</f>
        <v>Ссылка</v>
      </c>
      <c r="E453" s="826" t="str">
        <f>HYPERLINK("https://adv-map.ru/place/?LINK=1d4ebbde1427a54d8ea165a573cc955b","Ссылка")</f>
        <v>Ссылка</v>
      </c>
      <c r="F453" s="9" t="s">
        <v>613</v>
      </c>
      <c r="G453" s="10" t="s">
        <v>16</v>
      </c>
      <c r="H453" s="11">
        <v>31000</v>
      </c>
      <c r="I453" s="13" t="s">
        <v>26</v>
      </c>
    </row>
    <row r="454" spans="1:9" s="8" customFormat="1" ht="18" customHeight="1" outlineLevel="1" x14ac:dyDescent="0.2">
      <c r="A454" s="9" t="s">
        <v>611</v>
      </c>
      <c r="B454" s="9" t="s">
        <v>17</v>
      </c>
      <c r="C454" s="9" t="s">
        <v>612</v>
      </c>
      <c r="D454" s="827" t="str">
        <f>HYPERLINK("https://cloud.mail.ru/public/stfR/iZ8CYMLKa","Ссылка")</f>
        <v>Ссылка</v>
      </c>
      <c r="E454" s="828" t="str">
        <f>HYPERLINK("https://adv-map.ru/place/?LINK=e079a71d8161f40b64f2591f043f0e2f","Ссылка")</f>
        <v>Ссылка</v>
      </c>
      <c r="F454" s="9" t="s">
        <v>613</v>
      </c>
      <c r="G454" s="10" t="s">
        <v>16</v>
      </c>
      <c r="H454" s="11">
        <v>31000</v>
      </c>
      <c r="I454" s="13" t="s">
        <v>26</v>
      </c>
    </row>
    <row r="455" spans="1:9" s="8" customFormat="1" ht="18" customHeight="1" outlineLevel="1" x14ac:dyDescent="0.2">
      <c r="A455" s="9" t="s">
        <v>614</v>
      </c>
      <c r="B455" s="9" t="s">
        <v>13</v>
      </c>
      <c r="C455" s="9" t="s">
        <v>615</v>
      </c>
      <c r="D455" s="829" t="str">
        <f>HYPERLINK("https://cloud.mail.ru/public/BBpx/eghdmdELs","Ссылка")</f>
        <v>Ссылка</v>
      </c>
      <c r="E455" s="830" t="str">
        <f>HYPERLINK("https://adv-map.ru/place/?LINK=661cc8e4925a95f958cd8e14f81b0d9f","Ссылка")</f>
        <v>Ссылка</v>
      </c>
      <c r="F455" s="9" t="s">
        <v>616</v>
      </c>
      <c r="G455" s="10" t="s">
        <v>16</v>
      </c>
      <c r="H455" s="11">
        <v>29000</v>
      </c>
      <c r="I455" s="13" t="s">
        <v>26</v>
      </c>
    </row>
    <row r="456" spans="1:9" s="8" customFormat="1" ht="18" customHeight="1" outlineLevel="1" x14ac:dyDescent="0.2">
      <c r="A456" s="9" t="s">
        <v>614</v>
      </c>
      <c r="B456" s="9" t="s">
        <v>17</v>
      </c>
      <c r="C456" s="9" t="s">
        <v>615</v>
      </c>
      <c r="D456" s="831" t="str">
        <f>HYPERLINK("https://cloud.mail.ru/public/hetc/1PwGTSHJm","Ссылка")</f>
        <v>Ссылка</v>
      </c>
      <c r="E456" s="832" t="str">
        <f>HYPERLINK("https://adv-map.ru/place/?LINK=325500fc25a34c1d6af5db60c8310adb","Ссылка")</f>
        <v>Ссылка</v>
      </c>
      <c r="F456" s="9" t="s">
        <v>616</v>
      </c>
      <c r="G456" s="10" t="s">
        <v>16</v>
      </c>
      <c r="H456" s="11">
        <v>29000</v>
      </c>
      <c r="I456" s="13" t="s">
        <v>404</v>
      </c>
    </row>
    <row r="457" spans="1:9" s="8" customFormat="1" ht="18" customHeight="1" outlineLevel="1" x14ac:dyDescent="0.2">
      <c r="A457" s="9" t="s">
        <v>617</v>
      </c>
      <c r="B457" s="9" t="s">
        <v>13</v>
      </c>
      <c r="C457" s="9" t="s">
        <v>618</v>
      </c>
      <c r="D457" s="833" t="str">
        <f>HYPERLINK("https://cloud.mail.ru/public/r4AG/gYN8WzuH2","Ссылка")</f>
        <v>Ссылка</v>
      </c>
      <c r="E457" s="834" t="str">
        <f>HYPERLINK("https://adv-map.ru/place/?LINK=855b131a2db66190c1700f5c0dcf7a74","Ссылка")</f>
        <v>Ссылка</v>
      </c>
      <c r="F457" s="9" t="s">
        <v>619</v>
      </c>
      <c r="G457" s="10" t="s">
        <v>16</v>
      </c>
      <c r="H457" s="11">
        <v>29000</v>
      </c>
      <c r="I457" s="13" t="s">
        <v>26</v>
      </c>
    </row>
    <row r="458" spans="1:9" s="8" customFormat="1" ht="18" customHeight="1" outlineLevel="1" x14ac:dyDescent="0.2">
      <c r="A458" s="9" t="s">
        <v>617</v>
      </c>
      <c r="B458" s="9" t="s">
        <v>17</v>
      </c>
      <c r="C458" s="9" t="s">
        <v>618</v>
      </c>
      <c r="D458" s="835" t="str">
        <f>HYPERLINK("https://cloud.mail.ru/public/3UrF/R4muUiLN5","Ссылка")</f>
        <v>Ссылка</v>
      </c>
      <c r="E458" s="836" t="str">
        <f>HYPERLINK("https://adv-map.ru/place/?LINK=a7947508b60971cea3bef2af7965f4bd","Ссылка")</f>
        <v>Ссылка</v>
      </c>
      <c r="F458" s="9" t="s">
        <v>619</v>
      </c>
      <c r="G458" s="10" t="s">
        <v>16</v>
      </c>
      <c r="H458" s="11">
        <v>29000</v>
      </c>
      <c r="I458" s="12"/>
    </row>
    <row r="459" spans="1:9" s="8" customFormat="1" ht="18" customHeight="1" outlineLevel="1" x14ac:dyDescent="0.2">
      <c r="A459" s="9" t="s">
        <v>620</v>
      </c>
      <c r="B459" s="9" t="s">
        <v>13</v>
      </c>
      <c r="C459" s="9" t="s">
        <v>621</v>
      </c>
      <c r="D459" s="9"/>
      <c r="E459" s="837" t="str">
        <f>HYPERLINK("https://adv-map.ru/place/?LINK=e17fcce8fb41bef37de10a8552b35294","Ссылка")</f>
        <v>Ссылка</v>
      </c>
      <c r="F459" s="9" t="s">
        <v>622</v>
      </c>
      <c r="G459" s="10" t="s">
        <v>16</v>
      </c>
      <c r="H459" s="11">
        <v>29000</v>
      </c>
      <c r="I459" s="13" t="s">
        <v>26</v>
      </c>
    </row>
    <row r="460" spans="1:9" s="8" customFormat="1" ht="18" customHeight="1" outlineLevel="1" x14ac:dyDescent="0.2">
      <c r="A460" s="9" t="s">
        <v>620</v>
      </c>
      <c r="B460" s="9" t="s">
        <v>17</v>
      </c>
      <c r="C460" s="9" t="s">
        <v>621</v>
      </c>
      <c r="D460" s="9"/>
      <c r="E460" s="838" t="str">
        <f>HYPERLINK("https://adv-map.ru/place/?LINK=4b2e9befb73cc961bf850d4a6857ad7e","Ссылка")</f>
        <v>Ссылка</v>
      </c>
      <c r="F460" s="9" t="s">
        <v>622</v>
      </c>
      <c r="G460" s="10" t="s">
        <v>16</v>
      </c>
      <c r="H460" s="11">
        <v>25000</v>
      </c>
      <c r="I460" s="13" t="s">
        <v>26</v>
      </c>
    </row>
    <row r="461" spans="1:9" s="8" customFormat="1" ht="18" customHeight="1" outlineLevel="1" x14ac:dyDescent="0.2">
      <c r="A461" s="9" t="s">
        <v>623</v>
      </c>
      <c r="B461" s="9" t="s">
        <v>13</v>
      </c>
      <c r="C461" s="9" t="s">
        <v>624</v>
      </c>
      <c r="D461" s="839" t="str">
        <f>HYPERLINK("https://cloud.mail.ru/public/Jz93/vhi22MVVJ","Ссылка")</f>
        <v>Ссылка</v>
      </c>
      <c r="E461" s="840" t="str">
        <f>HYPERLINK("https://adv-map.ru/place/?LINK=55b3a04867f967206067d193842ab693","Ссылка")</f>
        <v>Ссылка</v>
      </c>
      <c r="F461" s="9" t="s">
        <v>625</v>
      </c>
      <c r="G461" s="10" t="s">
        <v>16</v>
      </c>
      <c r="H461" s="11">
        <v>23000</v>
      </c>
      <c r="I461" s="13" t="s">
        <v>26</v>
      </c>
    </row>
    <row r="462" spans="1:9" s="8" customFormat="1" ht="18" customHeight="1" outlineLevel="1" x14ac:dyDescent="0.2">
      <c r="A462" s="9" t="s">
        <v>623</v>
      </c>
      <c r="B462" s="9" t="s">
        <v>17</v>
      </c>
      <c r="C462" s="9" t="s">
        <v>624</v>
      </c>
      <c r="D462" s="841" t="str">
        <f>HYPERLINK("https://cloud.mail.ru/public/LmgE/E5QTZsstP","Ссылка")</f>
        <v>Ссылка</v>
      </c>
      <c r="E462" s="842" t="str">
        <f>HYPERLINK("https://adv-map.ru/place/?LINK=666bc052e5c77fc955396377e2b821e4","Ссылка")</f>
        <v>Ссылка</v>
      </c>
      <c r="F462" s="9" t="s">
        <v>625</v>
      </c>
      <c r="G462" s="10" t="s">
        <v>16</v>
      </c>
      <c r="H462" s="11">
        <v>21000</v>
      </c>
      <c r="I462" s="13" t="s">
        <v>26</v>
      </c>
    </row>
    <row r="463" spans="1:9" s="8" customFormat="1" ht="18" customHeight="1" outlineLevel="1" x14ac:dyDescent="0.2">
      <c r="A463" s="9" t="s">
        <v>626</v>
      </c>
      <c r="B463" s="9" t="s">
        <v>13</v>
      </c>
      <c r="C463" s="9" t="s">
        <v>627</v>
      </c>
      <c r="D463" s="843" t="str">
        <f>HYPERLINK("https://cloud.mail.ru/public/wJnL/mgDn2NkZW","Ссылка")</f>
        <v>Ссылка</v>
      </c>
      <c r="E463" s="844" t="str">
        <f>HYPERLINK("https://adv-map.ru/place/?LINK=3b9675330952131c8278369a1c7ac980","Ссылка")</f>
        <v>Ссылка</v>
      </c>
      <c r="F463" s="9" t="s">
        <v>628</v>
      </c>
      <c r="G463" s="10" t="s">
        <v>16</v>
      </c>
      <c r="H463" s="11">
        <v>25000</v>
      </c>
      <c r="I463" s="12"/>
    </row>
    <row r="464" spans="1:9" s="8" customFormat="1" ht="18" customHeight="1" outlineLevel="1" x14ac:dyDescent="0.2">
      <c r="A464" s="9" t="s">
        <v>626</v>
      </c>
      <c r="B464" s="9" t="s">
        <v>17</v>
      </c>
      <c r="C464" s="9" t="s">
        <v>627</v>
      </c>
      <c r="D464" s="845" t="str">
        <f>HYPERLINK("https://cloud.mail.ru/public/zhUd/JbvzzVMKj","Ссылка")</f>
        <v>Ссылка</v>
      </c>
      <c r="E464" s="846" t="str">
        <f>HYPERLINK("https://adv-map.ru/place/?LINK=718dc6e11aa9d9e63c0864e1921da63b","Ссылка")</f>
        <v>Ссылка</v>
      </c>
      <c r="F464" s="9" t="s">
        <v>628</v>
      </c>
      <c r="G464" s="10" t="s">
        <v>16</v>
      </c>
      <c r="H464" s="11">
        <v>25000</v>
      </c>
      <c r="I464" s="12"/>
    </row>
    <row r="465" spans="1:9" s="8" customFormat="1" ht="18" customHeight="1" outlineLevel="1" x14ac:dyDescent="0.2">
      <c r="A465" s="9" t="s">
        <v>629</v>
      </c>
      <c r="B465" s="9" t="s">
        <v>13</v>
      </c>
      <c r="C465" s="9" t="s">
        <v>630</v>
      </c>
      <c r="D465" s="847" t="str">
        <f>HYPERLINK("https://cloud.mail.ru/public/cx9M/hnY2ZH9tp","Ссылка")</f>
        <v>Ссылка</v>
      </c>
      <c r="E465" s="848" t="str">
        <f>HYPERLINK("https://adv-map.ru/place/?LINK=3ff595b3074d17d8b0a6821da956ccf4","Ссылка")</f>
        <v>Ссылка</v>
      </c>
      <c r="F465" s="9" t="s">
        <v>631</v>
      </c>
      <c r="G465" s="10" t="s">
        <v>16</v>
      </c>
      <c r="H465" s="11">
        <v>25000</v>
      </c>
      <c r="I465" s="12"/>
    </row>
    <row r="466" spans="1:9" s="8" customFormat="1" ht="18" customHeight="1" outlineLevel="1" x14ac:dyDescent="0.2">
      <c r="A466" s="9" t="s">
        <v>629</v>
      </c>
      <c r="B466" s="9" t="s">
        <v>17</v>
      </c>
      <c r="C466" s="9" t="s">
        <v>630</v>
      </c>
      <c r="D466" s="849" t="str">
        <f>HYPERLINK("https://cloud.mail.ru/public/o31o/x1U11dtGk","Ссылка")</f>
        <v>Ссылка</v>
      </c>
      <c r="E466" s="850" t="str">
        <f>HYPERLINK("https://adv-map.ru/place/?LINK=ee21936edca25bbc125518c73e83b370","Ссылка")</f>
        <v>Ссылка</v>
      </c>
      <c r="F466" s="9" t="s">
        <v>631</v>
      </c>
      <c r="G466" s="10" t="s">
        <v>16</v>
      </c>
      <c r="H466" s="11">
        <v>25000</v>
      </c>
      <c r="I466" s="12"/>
    </row>
    <row r="467" spans="1:9" s="8" customFormat="1" ht="18" customHeight="1" outlineLevel="1" x14ac:dyDescent="0.2">
      <c r="A467" s="9" t="s">
        <v>632</v>
      </c>
      <c r="B467" s="9" t="s">
        <v>13</v>
      </c>
      <c r="C467" s="9" t="s">
        <v>633</v>
      </c>
      <c r="D467" s="628" t="str">
        <f>HYPERLINK("https://cloud.mail.ru/public/SGMe/c2UPg8m4d","Ссылка")</f>
        <v>Ссылка</v>
      </c>
      <c r="E467" s="851" t="str">
        <f>HYPERLINK("https://adv-map.ru/place/?LINK=9309f3669ebf5733cd47bd8f9be19f01","Ссылка")</f>
        <v>Ссылка</v>
      </c>
      <c r="F467" s="9" t="s">
        <v>634</v>
      </c>
      <c r="G467" s="10" t="s">
        <v>16</v>
      </c>
      <c r="H467" s="11">
        <v>25000</v>
      </c>
      <c r="I467" s="13" t="s">
        <v>26</v>
      </c>
    </row>
    <row r="468" spans="1:9" s="8" customFormat="1" ht="18" customHeight="1" outlineLevel="1" x14ac:dyDescent="0.2">
      <c r="A468" s="9" t="s">
        <v>632</v>
      </c>
      <c r="B468" s="9" t="s">
        <v>17</v>
      </c>
      <c r="C468" s="9" t="s">
        <v>633</v>
      </c>
      <c r="D468" s="852" t="str">
        <f>HYPERLINK("https://cloud.mail.ru/public/84Hg/U5Bmsgc9a","Ссылка")</f>
        <v>Ссылка</v>
      </c>
      <c r="E468" s="853" t="str">
        <f>HYPERLINK("https://adv-map.ru/place/?LINK=bda6e90b97d1ce4e039ffd549b03f9c5","Ссылка")</f>
        <v>Ссылка</v>
      </c>
      <c r="F468" s="9" t="s">
        <v>634</v>
      </c>
      <c r="G468" s="10" t="s">
        <v>16</v>
      </c>
      <c r="H468" s="11">
        <v>25000</v>
      </c>
      <c r="I468" s="12"/>
    </row>
    <row r="469" spans="1:9" s="8" customFormat="1" ht="18" customHeight="1" outlineLevel="1" x14ac:dyDescent="0.2">
      <c r="A469" s="9" t="s">
        <v>635</v>
      </c>
      <c r="B469" s="9" t="s">
        <v>13</v>
      </c>
      <c r="C469" s="9" t="s">
        <v>636</v>
      </c>
      <c r="D469" s="9"/>
      <c r="E469" s="9"/>
      <c r="F469" s="9"/>
      <c r="G469" s="10" t="s">
        <v>16</v>
      </c>
      <c r="H469" s="9"/>
      <c r="I469" s="14"/>
    </row>
    <row r="470" spans="1:9" s="8" customFormat="1" ht="18" customHeight="1" outlineLevel="1" x14ac:dyDescent="0.2">
      <c r="A470" s="9" t="s">
        <v>635</v>
      </c>
      <c r="B470" s="9" t="s">
        <v>17</v>
      </c>
      <c r="C470" s="9" t="s">
        <v>636</v>
      </c>
      <c r="D470" s="9"/>
      <c r="E470" s="9"/>
      <c r="F470" s="9"/>
      <c r="G470" s="10" t="s">
        <v>16</v>
      </c>
      <c r="H470" s="9"/>
      <c r="I470" s="14"/>
    </row>
    <row r="471" spans="1:9" s="8" customFormat="1" ht="18" customHeight="1" outlineLevel="1" x14ac:dyDescent="0.2">
      <c r="A471" s="9" t="s">
        <v>637</v>
      </c>
      <c r="B471" s="9" t="s">
        <v>17</v>
      </c>
      <c r="C471" s="9" t="s">
        <v>638</v>
      </c>
      <c r="D471" s="854" t="str">
        <f>HYPERLINK("https://cloud.mail.ru/public/PRza/s2y1ZXu5N","Ссылка")</f>
        <v>Ссылка</v>
      </c>
      <c r="E471" s="855" t="str">
        <f>HYPERLINK("https://adv-map.ru/place/?LINK=1a15f48dac45626489f13253651fe694","Ссылка")</f>
        <v>Ссылка</v>
      </c>
      <c r="F471" s="9" t="s">
        <v>639</v>
      </c>
      <c r="G471" s="10" t="s">
        <v>191</v>
      </c>
      <c r="H471" s="9"/>
      <c r="I471" s="12"/>
    </row>
    <row r="472" spans="1:9" s="8" customFormat="1" ht="18" customHeight="1" outlineLevel="1" x14ac:dyDescent="0.2">
      <c r="A472" s="9" t="s">
        <v>640</v>
      </c>
      <c r="B472" s="9" t="s">
        <v>22</v>
      </c>
      <c r="C472" s="9" t="s">
        <v>641</v>
      </c>
      <c r="D472" s="856" t="str">
        <f>HYPERLINK("https://cloud.mail.ru/public/uZWz/rc1yhj9Ub","Ссылка")</f>
        <v>Ссылка</v>
      </c>
      <c r="E472" s="857" t="str">
        <f>HYPERLINK("https://adv-map.ru/place/?LINK=02f65b3a1e56c5ae7190d413f7d80e4f","Ссылка")</f>
        <v>Ссылка</v>
      </c>
      <c r="F472" s="9" t="s">
        <v>642</v>
      </c>
      <c r="G472" s="10" t="s">
        <v>25</v>
      </c>
      <c r="H472" s="11">
        <v>48500</v>
      </c>
      <c r="I472" s="12"/>
    </row>
    <row r="473" spans="1:9" s="8" customFormat="1" ht="18" customHeight="1" outlineLevel="1" x14ac:dyDescent="0.2">
      <c r="A473" s="9" t="s">
        <v>640</v>
      </c>
      <c r="B473" s="9" t="s">
        <v>27</v>
      </c>
      <c r="C473" s="9" t="s">
        <v>641</v>
      </c>
      <c r="D473" s="856" t="str">
        <f>HYPERLINK("https://cloud.mail.ru/public/uZWz/rc1yhj9Ub","Ссылка")</f>
        <v>Ссылка</v>
      </c>
      <c r="E473" s="858" t="str">
        <f>HYPERLINK("https://adv-map.ru/place/?LINK=8d2a05e5f5ad1c9430f19a1d1a8b3c85","Ссылка")</f>
        <v>Ссылка</v>
      </c>
      <c r="F473" s="9" t="s">
        <v>642</v>
      </c>
      <c r="G473" s="10" t="s">
        <v>25</v>
      </c>
      <c r="H473" s="11">
        <v>48500</v>
      </c>
      <c r="I473" s="12"/>
    </row>
    <row r="474" spans="1:9" s="8" customFormat="1" ht="18" customHeight="1" outlineLevel="1" x14ac:dyDescent="0.2">
      <c r="A474" s="9" t="s">
        <v>640</v>
      </c>
      <c r="B474" s="9" t="s">
        <v>28</v>
      </c>
      <c r="C474" s="9" t="s">
        <v>641</v>
      </c>
      <c r="D474" s="856" t="str">
        <f>HYPERLINK("https://cloud.mail.ru/public/uZWz/rc1yhj9Ub","Ссылка")</f>
        <v>Ссылка</v>
      </c>
      <c r="E474" s="859" t="str">
        <f>HYPERLINK("https://adv-map.ru/place/?LINK=3ef3478442724e5665f70068ee8fe750","Ссылка")</f>
        <v>Ссылка</v>
      </c>
      <c r="F474" s="9" t="s">
        <v>642</v>
      </c>
      <c r="G474" s="10" t="s">
        <v>25</v>
      </c>
      <c r="H474" s="11">
        <v>48500</v>
      </c>
      <c r="I474" s="13" t="s">
        <v>26</v>
      </c>
    </row>
    <row r="475" spans="1:9" s="8" customFormat="1" ht="18" customHeight="1" outlineLevel="1" x14ac:dyDescent="0.2">
      <c r="A475" s="9" t="s">
        <v>643</v>
      </c>
      <c r="B475" s="9" t="s">
        <v>17</v>
      </c>
      <c r="C475" s="9" t="s">
        <v>644</v>
      </c>
      <c r="D475" s="860" t="str">
        <f>HYPERLINK("https://cloud.mail.ru/public/V9cy/cU5zU2QzW","Ссылка")</f>
        <v>Ссылка</v>
      </c>
      <c r="E475" s="861" t="str">
        <f>HYPERLINK("https://adv-map.ru/place/?LINK=488a1835154d4a7e48f959cb01579dd9","Ссылка")</f>
        <v>Ссылка</v>
      </c>
      <c r="F475" s="9" t="s">
        <v>642</v>
      </c>
      <c r="G475" s="10" t="s">
        <v>191</v>
      </c>
      <c r="H475" s="11">
        <v>50000</v>
      </c>
      <c r="I475" s="12"/>
    </row>
    <row r="476" spans="1:9" s="8" customFormat="1" ht="18" customHeight="1" outlineLevel="1" x14ac:dyDescent="0.2">
      <c r="A476" s="9" t="s">
        <v>645</v>
      </c>
      <c r="B476" s="9" t="s">
        <v>17</v>
      </c>
      <c r="C476" s="9" t="s">
        <v>646</v>
      </c>
      <c r="D476" s="862" t="str">
        <f>HYPERLINK("https://cloud.mail.ru/public/PnEb/o1Jk9Y1cw","Ссылка")</f>
        <v>Ссылка</v>
      </c>
      <c r="E476" s="9"/>
      <c r="F476" s="9"/>
      <c r="G476" s="10" t="s">
        <v>191</v>
      </c>
      <c r="H476" s="11">
        <v>38500</v>
      </c>
      <c r="I476" s="13" t="s">
        <v>26</v>
      </c>
    </row>
    <row r="477" spans="1:9" s="8" customFormat="1" ht="18" customHeight="1" outlineLevel="1" x14ac:dyDescent="0.2">
      <c r="A477" s="9" t="s">
        <v>647</v>
      </c>
      <c r="B477" s="9" t="s">
        <v>22</v>
      </c>
      <c r="C477" s="9" t="s">
        <v>641</v>
      </c>
      <c r="D477" s="863" t="str">
        <f>HYPERLINK("https://cloud.mail.ru/public/EHfw/SUCrwJ2W4","Ссылка")</f>
        <v>Ссылка</v>
      </c>
      <c r="E477" s="864" t="str">
        <f>HYPERLINK("https://adv-map.ru/place/?LINK=94d5deb3a8187851a0fb1eaf8ad68557","Ссылка")</f>
        <v>Ссылка</v>
      </c>
      <c r="F477" s="9" t="s">
        <v>642</v>
      </c>
      <c r="G477" s="10" t="s">
        <v>25</v>
      </c>
      <c r="H477" s="11">
        <v>48500</v>
      </c>
      <c r="I477" s="12"/>
    </row>
    <row r="478" spans="1:9" s="8" customFormat="1" ht="18" customHeight="1" outlineLevel="1" x14ac:dyDescent="0.2">
      <c r="A478" s="9" t="s">
        <v>647</v>
      </c>
      <c r="B478" s="9" t="s">
        <v>27</v>
      </c>
      <c r="C478" s="9" t="s">
        <v>641</v>
      </c>
      <c r="D478" s="863" t="str">
        <f>HYPERLINK("https://cloud.mail.ru/public/EHfw/SUCrwJ2W4","Ссылка")</f>
        <v>Ссылка</v>
      </c>
      <c r="E478" s="865" t="str">
        <f>HYPERLINK("https://adv-map.ru/place/?LINK=acb198be647fd2ede2238e8cb261dbb0","Ссылка")</f>
        <v>Ссылка</v>
      </c>
      <c r="F478" s="9" t="s">
        <v>642</v>
      </c>
      <c r="G478" s="10" t="s">
        <v>25</v>
      </c>
      <c r="H478" s="11">
        <v>48500</v>
      </c>
      <c r="I478" s="13" t="s">
        <v>26</v>
      </c>
    </row>
    <row r="479" spans="1:9" s="8" customFormat="1" ht="18" customHeight="1" outlineLevel="1" x14ac:dyDescent="0.2">
      <c r="A479" s="9" t="s">
        <v>647</v>
      </c>
      <c r="B479" s="9" t="s">
        <v>28</v>
      </c>
      <c r="C479" s="9" t="s">
        <v>641</v>
      </c>
      <c r="D479" s="863" t="str">
        <f>HYPERLINK("https://cloud.mail.ru/public/EHfw/SUCrwJ2W4","Ссылка")</f>
        <v>Ссылка</v>
      </c>
      <c r="E479" s="866" t="str">
        <f>HYPERLINK("https://adv-map.ru/place/?LINK=f6c708ee3036e0f79f9d3ae514c00c22","Ссылка")</f>
        <v>Ссылка</v>
      </c>
      <c r="F479" s="9" t="s">
        <v>642</v>
      </c>
      <c r="G479" s="10" t="s">
        <v>25</v>
      </c>
      <c r="H479" s="11">
        <v>48500</v>
      </c>
      <c r="I479" s="13" t="s">
        <v>26</v>
      </c>
    </row>
    <row r="480" spans="1:9" s="8" customFormat="1" ht="18" customHeight="1" outlineLevel="1" x14ac:dyDescent="0.2">
      <c r="A480" s="9" t="s">
        <v>648</v>
      </c>
      <c r="B480" s="9" t="s">
        <v>17</v>
      </c>
      <c r="C480" s="9" t="s">
        <v>649</v>
      </c>
      <c r="D480" s="867" t="str">
        <f>HYPERLINK("https://cloud.mail.ru/public/u4WD/jHNEcNtLp","Ссылка")</f>
        <v>Ссылка</v>
      </c>
      <c r="E480" s="9"/>
      <c r="F480" s="9"/>
      <c r="G480" s="10" t="s">
        <v>191</v>
      </c>
      <c r="H480" s="11">
        <v>27500</v>
      </c>
      <c r="I480" s="13" t="s">
        <v>26</v>
      </c>
    </row>
    <row r="481" spans="1:9" s="8" customFormat="1" ht="18" customHeight="1" outlineLevel="1" x14ac:dyDescent="0.2">
      <c r="A481" s="9" t="s">
        <v>650</v>
      </c>
      <c r="B481" s="9" t="s">
        <v>17</v>
      </c>
      <c r="C481" s="9" t="s">
        <v>651</v>
      </c>
      <c r="D481" s="868" t="str">
        <f>HYPERLINK("https://cloud.mail.ru/public/rp6Z/YbHV4xTCc","Ссылка")</f>
        <v>Ссылка</v>
      </c>
      <c r="E481" s="869" t="str">
        <f>HYPERLINK("https://adv-map.ru/place/?LINK=b684fc50363684db813c34e7ad889dbf","Ссылка")</f>
        <v>Ссылка</v>
      </c>
      <c r="F481" s="9" t="s">
        <v>652</v>
      </c>
      <c r="G481" s="10" t="s">
        <v>191</v>
      </c>
      <c r="H481" s="11">
        <v>27500</v>
      </c>
      <c r="I481" s="13" t="s">
        <v>26</v>
      </c>
    </row>
    <row r="482" spans="1:9" s="8" customFormat="1" ht="18" customHeight="1" outlineLevel="1" x14ac:dyDescent="0.2">
      <c r="A482" s="9" t="s">
        <v>653</v>
      </c>
      <c r="B482" s="9" t="s">
        <v>22</v>
      </c>
      <c r="C482" s="9" t="s">
        <v>654</v>
      </c>
      <c r="D482" s="870" t="str">
        <f>HYPERLINK("https://cloud.mail.ru/public/YFJ9/WiyeAFXxs","Ссылка")</f>
        <v>Ссылка</v>
      </c>
      <c r="E482" s="871" t="str">
        <f>HYPERLINK("https://adv-map.ru/place/?LINK=d4477a4482c864fed108e10bbdbc5e9a","Ссылка")</f>
        <v>Ссылка</v>
      </c>
      <c r="F482" s="9" t="s">
        <v>655</v>
      </c>
      <c r="G482" s="10" t="s">
        <v>25</v>
      </c>
      <c r="H482" s="11">
        <v>48500</v>
      </c>
      <c r="I482" s="13" t="s">
        <v>26</v>
      </c>
    </row>
    <row r="483" spans="1:9" s="8" customFormat="1" ht="18" customHeight="1" outlineLevel="1" x14ac:dyDescent="0.2">
      <c r="A483" s="9" t="s">
        <v>653</v>
      </c>
      <c r="B483" s="9" t="s">
        <v>27</v>
      </c>
      <c r="C483" s="9" t="s">
        <v>654</v>
      </c>
      <c r="D483" s="870" t="str">
        <f>HYPERLINK("https://cloud.mail.ru/public/YFJ9/WiyeAFXxs","Ссылка")</f>
        <v>Ссылка</v>
      </c>
      <c r="E483" s="872" t="str">
        <f>HYPERLINK("https://adv-map.ru/place/?LINK=f7a5a714afd64a882f8fd1dfbcb1b54d","Ссылка")</f>
        <v>Ссылка</v>
      </c>
      <c r="F483" s="9" t="s">
        <v>655</v>
      </c>
      <c r="G483" s="10" t="s">
        <v>25</v>
      </c>
      <c r="H483" s="11">
        <v>48500</v>
      </c>
      <c r="I483" s="13" t="s">
        <v>26</v>
      </c>
    </row>
    <row r="484" spans="1:9" s="8" customFormat="1" ht="18" customHeight="1" outlineLevel="1" x14ac:dyDescent="0.2">
      <c r="A484" s="9" t="s">
        <v>653</v>
      </c>
      <c r="B484" s="9" t="s">
        <v>28</v>
      </c>
      <c r="C484" s="9" t="s">
        <v>654</v>
      </c>
      <c r="D484" s="870" t="str">
        <f>HYPERLINK("https://cloud.mail.ru/public/YFJ9/WiyeAFXxs","Ссылка")</f>
        <v>Ссылка</v>
      </c>
      <c r="E484" s="873" t="str">
        <f>HYPERLINK("https://adv-map.ru/place/?LINK=767900af35b34aea409863dc60bc01fa","Ссылка")</f>
        <v>Ссылка</v>
      </c>
      <c r="F484" s="9" t="s">
        <v>655</v>
      </c>
      <c r="G484" s="10" t="s">
        <v>25</v>
      </c>
      <c r="H484" s="11">
        <v>48500</v>
      </c>
      <c r="I484" s="13" t="s">
        <v>26</v>
      </c>
    </row>
    <row r="485" spans="1:9" s="8" customFormat="1" ht="18" customHeight="1" outlineLevel="1" x14ac:dyDescent="0.2">
      <c r="A485" s="9" t="s">
        <v>656</v>
      </c>
      <c r="B485" s="9" t="s">
        <v>13</v>
      </c>
      <c r="C485" s="9" t="s">
        <v>657</v>
      </c>
      <c r="D485" s="874" t="str">
        <f>HYPERLINK("https://cloud.mail.ru/public/MYzQ/KWqxLiBMS","Ссылка")</f>
        <v>Ссылка</v>
      </c>
      <c r="E485" s="875" t="str">
        <f>HYPERLINK("https://adv-map.ru/place/?LINK=f3efd29b66e5d4b3d8a90e6f1456eb11","Ссылка")</f>
        <v>Ссылка</v>
      </c>
      <c r="F485" s="9" t="s">
        <v>658</v>
      </c>
      <c r="G485" s="10" t="s">
        <v>16</v>
      </c>
      <c r="H485" s="11">
        <v>25000</v>
      </c>
      <c r="I485" s="13" t="s">
        <v>26</v>
      </c>
    </row>
    <row r="486" spans="1:9" s="8" customFormat="1" ht="18" customHeight="1" outlineLevel="1" x14ac:dyDescent="0.2">
      <c r="A486" s="9" t="s">
        <v>656</v>
      </c>
      <c r="B486" s="9" t="s">
        <v>17</v>
      </c>
      <c r="C486" s="9" t="s">
        <v>657</v>
      </c>
      <c r="D486" s="876" t="str">
        <f>HYPERLINK("https://cloud.mail.ru/public/X2PZ/GujRgDpQQ","Ссылка")</f>
        <v>Ссылка</v>
      </c>
      <c r="E486" s="877" t="str">
        <f>HYPERLINK("https://adv-map.ru/place/?LINK=949c4bac170c30c635872dbd2f57b2e5","Ссылка")</f>
        <v>Ссылка</v>
      </c>
      <c r="F486" s="9" t="s">
        <v>658</v>
      </c>
      <c r="G486" s="10" t="s">
        <v>16</v>
      </c>
      <c r="H486" s="11">
        <v>23000</v>
      </c>
      <c r="I486" s="12"/>
    </row>
    <row r="487" spans="1:9" s="8" customFormat="1" ht="18" customHeight="1" outlineLevel="1" x14ac:dyDescent="0.2">
      <c r="A487" s="9" t="s">
        <v>659</v>
      </c>
      <c r="B487" s="9" t="s">
        <v>13</v>
      </c>
      <c r="C487" s="9" t="s">
        <v>660</v>
      </c>
      <c r="D487" s="878" t="str">
        <f>HYPERLINK("https://cloud.mail.ru/public/DHH8/XGBnfgbVG","Ссылка")</f>
        <v>Ссылка</v>
      </c>
      <c r="E487" s="879" t="str">
        <f>HYPERLINK("https://adv-map.ru/place/?LINK=1ee47a76ebe053ccca9c461e726fc049","Ссылка")</f>
        <v>Ссылка</v>
      </c>
      <c r="F487" s="9" t="s">
        <v>661</v>
      </c>
      <c r="G487" s="10" t="s">
        <v>662</v>
      </c>
      <c r="H487" s="11">
        <v>71500</v>
      </c>
      <c r="I487" s="13" t="s">
        <v>26</v>
      </c>
    </row>
    <row r="488" spans="1:9" s="8" customFormat="1" ht="18" customHeight="1" outlineLevel="1" x14ac:dyDescent="0.2">
      <c r="A488" s="9" t="s">
        <v>663</v>
      </c>
      <c r="B488" s="9" t="s">
        <v>17</v>
      </c>
      <c r="C488" s="9" t="s">
        <v>664</v>
      </c>
      <c r="D488" s="880" t="str">
        <f>HYPERLINK("https://cloud.mail.ru/public/iR3o/ZyFZC66c3","Ссылка")</f>
        <v>Ссылка</v>
      </c>
      <c r="E488" s="881" t="str">
        <f>HYPERLINK("https://adv-map.ru/place/?LINK=67d05ba4a1b96717876352ce73112341","Ссылка")</f>
        <v>Ссылка</v>
      </c>
      <c r="F488" s="9" t="s">
        <v>452</v>
      </c>
      <c r="G488" s="10" t="s">
        <v>662</v>
      </c>
      <c r="H488" s="11">
        <v>38500</v>
      </c>
      <c r="I488" s="13" t="s">
        <v>26</v>
      </c>
    </row>
    <row r="489" spans="1:9" s="8" customFormat="1" ht="18" customHeight="1" outlineLevel="1" x14ac:dyDescent="0.2">
      <c r="A489" s="9" t="s">
        <v>665</v>
      </c>
      <c r="B489" s="9" t="s">
        <v>13</v>
      </c>
      <c r="C489" s="9" t="s">
        <v>666</v>
      </c>
      <c r="D489" s="882" t="str">
        <f>HYPERLINK("https://cloud.mail.ru/public/5kkB/tQJt4AJvp","Ссылка")</f>
        <v>Ссылка</v>
      </c>
      <c r="E489" s="883" t="str">
        <f>HYPERLINK("https://adv-map.ru/place/?LINK=725923b292c5518a7d1b7f33dc26d6d3","Ссылка")</f>
        <v>Ссылка</v>
      </c>
      <c r="F489" s="9" t="s">
        <v>667</v>
      </c>
      <c r="G489" s="10" t="s">
        <v>662</v>
      </c>
      <c r="H489" s="11">
        <v>60500</v>
      </c>
      <c r="I489" s="13" t="s">
        <v>26</v>
      </c>
    </row>
    <row r="490" spans="1:9" s="8" customFormat="1" ht="18" customHeight="1" outlineLevel="1" x14ac:dyDescent="0.2">
      <c r="A490" s="9" t="s">
        <v>665</v>
      </c>
      <c r="B490" s="9" t="s">
        <v>17</v>
      </c>
      <c r="C490" s="9" t="s">
        <v>666</v>
      </c>
      <c r="D490" s="884" t="str">
        <f>HYPERLINK("https://cloud.mail.ru/public/z1YL/CG8wc1cbd","Ссылка")</f>
        <v>Ссылка</v>
      </c>
      <c r="E490" s="885" t="str">
        <f>HYPERLINK("https://adv-map.ru/place/?LINK=e38a7f27ea2a4acc0d061b60ed11ab90","Ссылка")</f>
        <v>Ссылка</v>
      </c>
      <c r="F490" s="9" t="s">
        <v>667</v>
      </c>
      <c r="G490" s="10" t="s">
        <v>662</v>
      </c>
      <c r="H490" s="11">
        <v>55000</v>
      </c>
      <c r="I490" s="12"/>
    </row>
    <row r="491" spans="1:9" s="8" customFormat="1" ht="18" customHeight="1" outlineLevel="1" x14ac:dyDescent="0.2">
      <c r="A491" s="9" t="s">
        <v>668</v>
      </c>
      <c r="B491" s="9" t="s">
        <v>13</v>
      </c>
      <c r="C491" s="9" t="s">
        <v>669</v>
      </c>
      <c r="D491" s="886" t="str">
        <f>HYPERLINK("https://cloud.mail.ru/public/2dpY/7QvbzgiQm","Ссылка")</f>
        <v>Ссылка</v>
      </c>
      <c r="E491" s="887" t="str">
        <f>HYPERLINK("https://adv-map.ru/place/?LINK=4a52a59b217e8f10f3a0431935864af1","Ссылка")</f>
        <v>Ссылка</v>
      </c>
      <c r="F491" s="9" t="s">
        <v>670</v>
      </c>
      <c r="G491" s="10" t="s">
        <v>662</v>
      </c>
      <c r="H491" s="11">
        <v>55000</v>
      </c>
      <c r="I491" s="13" t="s">
        <v>26</v>
      </c>
    </row>
    <row r="492" spans="1:9" s="8" customFormat="1" ht="18" customHeight="1" outlineLevel="1" x14ac:dyDescent="0.2">
      <c r="A492" s="9" t="s">
        <v>668</v>
      </c>
      <c r="B492" s="9" t="s">
        <v>17</v>
      </c>
      <c r="C492" s="9" t="s">
        <v>669</v>
      </c>
      <c r="D492" s="888" t="str">
        <f>HYPERLINK("https://cloud.mail.ru/public/HWLy/btzumLoeR","Ссылка")</f>
        <v>Ссылка</v>
      </c>
      <c r="E492" s="889" t="str">
        <f>HYPERLINK("https://adv-map.ru/place/?LINK=e65eacad156df5b9f55f2e8edd66d883","Ссылка")</f>
        <v>Ссылка</v>
      </c>
      <c r="F492" s="9" t="s">
        <v>670</v>
      </c>
      <c r="G492" s="10" t="s">
        <v>662</v>
      </c>
      <c r="H492" s="11">
        <v>55000</v>
      </c>
      <c r="I492" s="13" t="s">
        <v>26</v>
      </c>
    </row>
    <row r="493" spans="1:9" s="8" customFormat="1" ht="18" customHeight="1" outlineLevel="1" x14ac:dyDescent="0.2">
      <c r="A493" s="9" t="s">
        <v>671</v>
      </c>
      <c r="B493" s="9" t="s">
        <v>13</v>
      </c>
      <c r="C493" s="9" t="s">
        <v>672</v>
      </c>
      <c r="D493" s="890" t="str">
        <f>HYPERLINK("https://cloud.mail.ru/public/F86v/m2zBgxoDz","Ссылка")</f>
        <v>Ссылка</v>
      </c>
      <c r="E493" s="891" t="str">
        <f>HYPERLINK("https://adv-map.ru/place/?LINK=1708be8bcdd65afad6c4fae859261e57","Ссылка")</f>
        <v>Ссылка</v>
      </c>
      <c r="F493" s="9" t="s">
        <v>673</v>
      </c>
      <c r="G493" s="10" t="s">
        <v>662</v>
      </c>
      <c r="H493" s="11">
        <v>55000</v>
      </c>
      <c r="I493" s="13" t="s">
        <v>26</v>
      </c>
    </row>
    <row r="494" spans="1:9" s="8" customFormat="1" ht="18" customHeight="1" outlineLevel="1" x14ac:dyDescent="0.2">
      <c r="A494" s="9" t="s">
        <v>671</v>
      </c>
      <c r="B494" s="9" t="s">
        <v>17</v>
      </c>
      <c r="C494" s="9" t="s">
        <v>672</v>
      </c>
      <c r="D494" s="892" t="str">
        <f>HYPERLINK("https://cloud.mail.ru/public/zMxp/hteBweV3U","Ссылка")</f>
        <v>Ссылка</v>
      </c>
      <c r="E494" s="893" t="str">
        <f>HYPERLINK("https://adv-map.ru/place/?LINK=3d2974d633902fcc5ecb41cca0c83afb","Ссылка")</f>
        <v>Ссылка</v>
      </c>
      <c r="F494" s="9" t="s">
        <v>673</v>
      </c>
      <c r="G494" s="10" t="s">
        <v>662</v>
      </c>
      <c r="H494" s="11">
        <v>55000</v>
      </c>
      <c r="I494" s="12"/>
    </row>
    <row r="495" spans="1:9" s="8" customFormat="1" ht="18" customHeight="1" outlineLevel="1" x14ac:dyDescent="0.2">
      <c r="A495" s="9" t="s">
        <v>674</v>
      </c>
      <c r="B495" s="9" t="s">
        <v>13</v>
      </c>
      <c r="C495" s="9" t="s">
        <v>675</v>
      </c>
      <c r="D495" s="894" t="str">
        <f>HYPERLINK("https://cloud.mail.ru/public/7RVf/eQiupbz4y","Ссылка")</f>
        <v>Ссылка</v>
      </c>
      <c r="E495" s="895" t="str">
        <f>HYPERLINK("https://adv-map.ru/place/?LINK=e6483ed02ddde3f6db71ceb083cc3fe7","Ссылка")</f>
        <v>Ссылка</v>
      </c>
      <c r="F495" s="9" t="s">
        <v>676</v>
      </c>
      <c r="G495" s="10" t="s">
        <v>662</v>
      </c>
      <c r="H495" s="11">
        <v>60500</v>
      </c>
      <c r="I495" s="13" t="s">
        <v>26</v>
      </c>
    </row>
    <row r="496" spans="1:9" s="8" customFormat="1" ht="18" customHeight="1" outlineLevel="1" x14ac:dyDescent="0.2">
      <c r="A496" s="9" t="s">
        <v>674</v>
      </c>
      <c r="B496" s="9" t="s">
        <v>17</v>
      </c>
      <c r="C496" s="9" t="s">
        <v>675</v>
      </c>
      <c r="D496" s="896" t="str">
        <f>HYPERLINK("https://cloud.mail.ru/public/qsYB/PBsCM6utJ","Ссылка")</f>
        <v>Ссылка</v>
      </c>
      <c r="E496" s="897" t="str">
        <f>HYPERLINK("https://adv-map.ru/place/?LINK=69b4c9ce01087234b7ab356d2db1ada6","Ссылка")</f>
        <v>Ссылка</v>
      </c>
      <c r="F496" s="9" t="s">
        <v>676</v>
      </c>
      <c r="G496" s="10" t="s">
        <v>662</v>
      </c>
      <c r="H496" s="11">
        <v>60500</v>
      </c>
      <c r="I496" s="13" t="s">
        <v>26</v>
      </c>
    </row>
    <row r="497" spans="1:9" s="8" customFormat="1" ht="18" customHeight="1" outlineLevel="1" x14ac:dyDescent="0.2">
      <c r="A497" s="9" t="s">
        <v>677</v>
      </c>
      <c r="B497" s="9" t="s">
        <v>13</v>
      </c>
      <c r="C497" s="9" t="s">
        <v>678</v>
      </c>
      <c r="D497" s="898" t="str">
        <f>HYPERLINK("https://cloud.mail.ru/public/1czv/CcfP5nxFU","Ссылка")</f>
        <v>Ссылка</v>
      </c>
      <c r="E497" s="899" t="str">
        <f>HYPERLINK("https://adv-map.ru/place/?LINK=06cbdfaf5f818744c9fd7adce0db9745","Ссылка")</f>
        <v>Ссылка</v>
      </c>
      <c r="F497" s="9" t="s">
        <v>679</v>
      </c>
      <c r="G497" s="10" t="s">
        <v>662</v>
      </c>
      <c r="H497" s="11">
        <v>60500</v>
      </c>
      <c r="I497" s="13" t="s">
        <v>26</v>
      </c>
    </row>
    <row r="498" spans="1:9" s="8" customFormat="1" ht="18" customHeight="1" outlineLevel="1" x14ac:dyDescent="0.2">
      <c r="A498" s="9" t="s">
        <v>677</v>
      </c>
      <c r="B498" s="9" t="s">
        <v>17</v>
      </c>
      <c r="C498" s="9" t="s">
        <v>678</v>
      </c>
      <c r="D498" s="900" t="str">
        <f>HYPERLINK("https://cloud.mail.ru/public/L9C2/GY9NMPaHw","Ссылка")</f>
        <v>Ссылка</v>
      </c>
      <c r="E498" s="901" t="str">
        <f>HYPERLINK("https://adv-map.ru/place/?LINK=85f408ec096a9cef372057584f704d2d","Ссылка")</f>
        <v>Ссылка</v>
      </c>
      <c r="F498" s="9" t="s">
        <v>679</v>
      </c>
      <c r="G498" s="10" t="s">
        <v>662</v>
      </c>
      <c r="H498" s="11">
        <v>60500</v>
      </c>
      <c r="I498" s="13" t="s">
        <v>26</v>
      </c>
    </row>
    <row r="499" spans="1:9" s="8" customFormat="1" ht="18" customHeight="1" outlineLevel="1" x14ac:dyDescent="0.2">
      <c r="A499" s="9" t="s">
        <v>680</v>
      </c>
      <c r="B499" s="9" t="s">
        <v>13</v>
      </c>
      <c r="C499" s="9" t="s">
        <v>681</v>
      </c>
      <c r="D499" s="902" t="str">
        <f>HYPERLINK("https://cloud.mail.ru/public/Ehor/wHFTzFUvM","Ссылка")</f>
        <v>Ссылка</v>
      </c>
      <c r="E499" s="903" t="str">
        <f>HYPERLINK("https://adv-map.ru/place/?LINK=91a7b2454c18bf2fbbf114cebfa9ffd1","Ссылка")</f>
        <v>Ссылка</v>
      </c>
      <c r="F499" s="9" t="s">
        <v>682</v>
      </c>
      <c r="G499" s="10" t="s">
        <v>662</v>
      </c>
      <c r="H499" s="11">
        <v>60500</v>
      </c>
      <c r="I499" s="12"/>
    </row>
    <row r="500" spans="1:9" s="8" customFormat="1" ht="18" customHeight="1" outlineLevel="1" x14ac:dyDescent="0.2">
      <c r="A500" s="9" t="s">
        <v>680</v>
      </c>
      <c r="B500" s="9" t="s">
        <v>17</v>
      </c>
      <c r="C500" s="9" t="s">
        <v>681</v>
      </c>
      <c r="D500" s="904" t="str">
        <f>HYPERLINK("https://cloud.mail.ru/public/9VLR/Xm2ytvBPB","Ссылка")</f>
        <v>Ссылка</v>
      </c>
      <c r="E500" s="905" t="str">
        <f>HYPERLINK("https://adv-map.ru/place/?LINK=1e53bcc7b710b080ddc7a1af23449fba","Ссылка")</f>
        <v>Ссылка</v>
      </c>
      <c r="F500" s="9" t="s">
        <v>682</v>
      </c>
      <c r="G500" s="10" t="s">
        <v>662</v>
      </c>
      <c r="H500" s="11">
        <v>60500</v>
      </c>
      <c r="I500" s="12"/>
    </row>
    <row r="501" spans="1:9" s="8" customFormat="1" ht="18" customHeight="1" outlineLevel="1" x14ac:dyDescent="0.2">
      <c r="A501" s="9" t="s">
        <v>683</v>
      </c>
      <c r="B501" s="9" t="s">
        <v>13</v>
      </c>
      <c r="C501" s="9" t="s">
        <v>684</v>
      </c>
      <c r="D501" s="906" t="str">
        <f>HYPERLINK("https://cloud.mail.ru/public/nT9j/fFYU6S6Md","Ссылка")</f>
        <v>Ссылка</v>
      </c>
      <c r="E501" s="907" t="str">
        <f>HYPERLINK("https://adv-map.ru/place/?LINK=2963d6d1554148c90fb75504b336b3a2","Ссылка")</f>
        <v>Ссылка</v>
      </c>
      <c r="F501" s="9" t="s">
        <v>685</v>
      </c>
      <c r="G501" s="10" t="s">
        <v>662</v>
      </c>
      <c r="H501" s="11">
        <v>60500</v>
      </c>
      <c r="I501" s="12"/>
    </row>
    <row r="502" spans="1:9" s="8" customFormat="1" ht="18" customHeight="1" outlineLevel="1" x14ac:dyDescent="0.2">
      <c r="A502" s="9" t="s">
        <v>683</v>
      </c>
      <c r="B502" s="9" t="s">
        <v>17</v>
      </c>
      <c r="C502" s="9" t="s">
        <v>684</v>
      </c>
      <c r="D502" s="908" t="str">
        <f>HYPERLINK("https://cloud.mail.ru/public/9qvr/DLHxQZjQL","Ссылка")</f>
        <v>Ссылка</v>
      </c>
      <c r="E502" s="909" t="str">
        <f>HYPERLINK("https://adv-map.ru/place/?LINK=ecbb674c7e6a9cdcb5b233f23501da8f","Ссылка")</f>
        <v>Ссылка</v>
      </c>
      <c r="F502" s="9" t="s">
        <v>685</v>
      </c>
      <c r="G502" s="10" t="s">
        <v>662</v>
      </c>
      <c r="H502" s="11">
        <v>55000</v>
      </c>
      <c r="I502" s="13" t="s">
        <v>26</v>
      </c>
    </row>
    <row r="503" spans="1:9" s="8" customFormat="1" ht="18" customHeight="1" outlineLevel="1" x14ac:dyDescent="0.2">
      <c r="A503" s="9" t="s">
        <v>686</v>
      </c>
      <c r="B503" s="9" t="s">
        <v>17</v>
      </c>
      <c r="C503" s="9" t="s">
        <v>687</v>
      </c>
      <c r="D503" s="910" t="str">
        <f>HYPERLINK("https://cloud.mail.ru/public/6CDM/mr6cDxVtg","Ссылка")</f>
        <v>Ссылка</v>
      </c>
      <c r="E503" s="911" t="str">
        <f>HYPERLINK("https://adv-map.ru/place/?LINK=d4a3b68220bac02437781575ba2a33c2","Ссылка")</f>
        <v>Ссылка</v>
      </c>
      <c r="F503" s="9" t="s">
        <v>688</v>
      </c>
      <c r="G503" s="10" t="s">
        <v>689</v>
      </c>
      <c r="H503" s="11">
        <v>88000</v>
      </c>
      <c r="I503" s="13" t="s">
        <v>26</v>
      </c>
    </row>
    <row r="504" spans="1:9" s="8" customFormat="1" ht="18" customHeight="1" outlineLevel="1" x14ac:dyDescent="0.2">
      <c r="A504" s="9" t="s">
        <v>690</v>
      </c>
      <c r="B504" s="9" t="s">
        <v>22</v>
      </c>
      <c r="C504" s="9" t="s">
        <v>691</v>
      </c>
      <c r="D504" s="912" t="str">
        <f>HYPERLINK("https://cloud.mail.ru/public/Npf6/x7WsGKTad","Ссылка")</f>
        <v>Ссылка</v>
      </c>
      <c r="E504" s="913" t="str">
        <f>HYPERLINK("https://adv-map.ru/place/?LINK=76582ccd81fe662f6524b44aa53652b6","Ссылка")</f>
        <v>Ссылка</v>
      </c>
      <c r="F504" s="9" t="s">
        <v>692</v>
      </c>
      <c r="G504" s="10" t="s">
        <v>693</v>
      </c>
      <c r="H504" s="11">
        <v>88000</v>
      </c>
      <c r="I504" s="12"/>
    </row>
    <row r="505" spans="1:9" s="8" customFormat="1" ht="18" customHeight="1" outlineLevel="1" x14ac:dyDescent="0.2">
      <c r="A505" s="9" t="s">
        <v>690</v>
      </c>
      <c r="B505" s="9" t="s">
        <v>17</v>
      </c>
      <c r="C505" s="9" t="s">
        <v>691</v>
      </c>
      <c r="D505" s="914" t="str">
        <f>HYPERLINK("https://cloud.mail.ru/public/GSX6/nqFFen2Ud","Ссылка")</f>
        <v>Ссылка</v>
      </c>
      <c r="E505" s="915" t="str">
        <f>HYPERLINK("https://adv-map.ru/place/?LINK=8678cb0603bb672bc7c0d849e2118d34","Ссылка")</f>
        <v>Ссылка</v>
      </c>
      <c r="F505" s="9" t="s">
        <v>692</v>
      </c>
      <c r="G505" s="10" t="s">
        <v>689</v>
      </c>
      <c r="H505" s="11">
        <v>77000</v>
      </c>
      <c r="I505" s="13" t="s">
        <v>26</v>
      </c>
    </row>
    <row r="506" spans="1:9" s="8" customFormat="1" ht="18" customHeight="1" outlineLevel="1" x14ac:dyDescent="0.2">
      <c r="A506" s="9" t="s">
        <v>694</v>
      </c>
      <c r="B506" s="9" t="s">
        <v>13</v>
      </c>
      <c r="C506" s="9" t="s">
        <v>695</v>
      </c>
      <c r="D506" s="916" t="str">
        <f>HYPERLINK("https://cloud.mail.ru/public/SXts/MT9TKvCne","Ссылка")</f>
        <v>Ссылка</v>
      </c>
      <c r="E506" s="917" t="str">
        <f>HYPERLINK("https://adv-map.ru/place/?LINK=23fe5f8788fbfc389df4281c27f8c764","Ссылка")</f>
        <v>Ссылка</v>
      </c>
      <c r="F506" s="9" t="s">
        <v>696</v>
      </c>
      <c r="G506" s="10" t="s">
        <v>16</v>
      </c>
      <c r="H506" s="11">
        <v>33000</v>
      </c>
      <c r="I506" s="13" t="s">
        <v>47</v>
      </c>
    </row>
    <row r="507" spans="1:9" s="8" customFormat="1" ht="18" customHeight="1" outlineLevel="1" x14ac:dyDescent="0.2">
      <c r="A507" s="9" t="s">
        <v>694</v>
      </c>
      <c r="B507" s="9" t="s">
        <v>17</v>
      </c>
      <c r="C507" s="9" t="s">
        <v>697</v>
      </c>
      <c r="D507" s="918" t="str">
        <f>HYPERLINK("https://cloud.mail.ru/public/rcsW/i5Ca8saMe","Ссылка")</f>
        <v>Ссылка</v>
      </c>
      <c r="E507" s="919" t="str">
        <f>HYPERLINK("https://adv-map.ru/place/?LINK=6598010187a3dd7c42f154e86d98bddf","Ссылка")</f>
        <v>Ссылка</v>
      </c>
      <c r="F507" s="9" t="s">
        <v>696</v>
      </c>
      <c r="G507" s="10" t="s">
        <v>16</v>
      </c>
      <c r="H507" s="11">
        <v>25000</v>
      </c>
      <c r="I507" s="12"/>
    </row>
    <row r="508" spans="1:9" s="8" customFormat="1" ht="18" customHeight="1" outlineLevel="1" x14ac:dyDescent="0.2">
      <c r="A508" s="9" t="s">
        <v>694</v>
      </c>
      <c r="B508" s="9" t="s">
        <v>292</v>
      </c>
      <c r="C508" s="9" t="s">
        <v>697</v>
      </c>
      <c r="D508" s="916" t="str">
        <f>HYPERLINK("https://cloud.mail.ru/public/SXts/MT9TKvCne","Ссылка")</f>
        <v>Ссылка</v>
      </c>
      <c r="E508" s="920" t="str">
        <f>HYPERLINK("https://adv-map.ru/place/?LINK=9271b879d089a65e115133ce85cb7f7e","Ссылка")</f>
        <v>Ссылка</v>
      </c>
      <c r="F508" s="9" t="s">
        <v>696</v>
      </c>
      <c r="G508" s="10" t="s">
        <v>16</v>
      </c>
      <c r="H508" s="11">
        <v>33000</v>
      </c>
      <c r="I508" s="13" t="s">
        <v>26</v>
      </c>
    </row>
    <row r="509" spans="1:9" s="8" customFormat="1" ht="18" customHeight="1" outlineLevel="1" x14ac:dyDescent="0.2">
      <c r="A509" s="9" t="s">
        <v>698</v>
      </c>
      <c r="B509" s="9" t="s">
        <v>13</v>
      </c>
      <c r="C509" s="9" t="s">
        <v>699</v>
      </c>
      <c r="D509" s="921" t="str">
        <f>HYPERLINK("https://cloud.mail.ru/public/bno8/z2EXhtoHg","Ссылка")</f>
        <v>Ссылка</v>
      </c>
      <c r="E509" s="922" t="str">
        <f>HYPERLINK("https://adv-map.ru/place/?LINK=e7f60c7d7c393c988e38a38ad635b721","Ссылка")</f>
        <v>Ссылка</v>
      </c>
      <c r="F509" s="9" t="s">
        <v>700</v>
      </c>
      <c r="G509" s="10" t="s">
        <v>16</v>
      </c>
      <c r="H509" s="11">
        <v>31000</v>
      </c>
      <c r="I509" s="13" t="s">
        <v>26</v>
      </c>
    </row>
    <row r="510" spans="1:9" s="8" customFormat="1" ht="18" customHeight="1" outlineLevel="1" x14ac:dyDescent="0.2">
      <c r="A510" s="9" t="s">
        <v>698</v>
      </c>
      <c r="B510" s="9" t="s">
        <v>17</v>
      </c>
      <c r="C510" s="9" t="s">
        <v>699</v>
      </c>
      <c r="D510" s="923" t="str">
        <f>HYPERLINK("https://cloud.mail.ru/public/DwWA/TBqhjDFos","Ссылка")</f>
        <v>Ссылка</v>
      </c>
      <c r="E510" s="924" t="str">
        <f>HYPERLINK("https://adv-map.ru/place/?LINK=fe0b45d2d759fffcaaa76ba77d450606","Ссылка")</f>
        <v>Ссылка</v>
      </c>
      <c r="F510" s="9" t="s">
        <v>700</v>
      </c>
      <c r="G510" s="10" t="s">
        <v>16</v>
      </c>
      <c r="H510" s="11">
        <v>23000</v>
      </c>
      <c r="I510" s="12"/>
    </row>
    <row r="511" spans="1:9" s="8" customFormat="1" ht="18" customHeight="1" outlineLevel="1" x14ac:dyDescent="0.2">
      <c r="A511" s="9" t="s">
        <v>701</v>
      </c>
      <c r="B511" s="9" t="s">
        <v>13</v>
      </c>
      <c r="C511" s="9" t="s">
        <v>699</v>
      </c>
      <c r="D511" s="925" t="str">
        <f>HYPERLINK("https://cloud.mail.ru/public/3mXx/6JbjrWW6X","Ссылка")</f>
        <v>Ссылка</v>
      </c>
      <c r="E511" s="926" t="str">
        <f>HYPERLINK("https://adv-map.ru/place/?LINK=8f3b52b7490144771a39077be08cf80b","Ссылка")</f>
        <v>Ссылка</v>
      </c>
      <c r="F511" s="9" t="s">
        <v>700</v>
      </c>
      <c r="G511" s="10" t="s">
        <v>16</v>
      </c>
      <c r="H511" s="11">
        <v>31000</v>
      </c>
      <c r="I511" s="13" t="s">
        <v>26</v>
      </c>
    </row>
    <row r="512" spans="1:9" s="8" customFormat="1" ht="18" customHeight="1" outlineLevel="1" x14ac:dyDescent="0.2">
      <c r="A512" s="9" t="s">
        <v>701</v>
      </c>
      <c r="B512" s="9" t="s">
        <v>17</v>
      </c>
      <c r="C512" s="9" t="s">
        <v>699</v>
      </c>
      <c r="D512" s="927" t="str">
        <f>HYPERLINK("https://cloud.mail.ru/public/vqKy/VN8hPqx5u","Ссылка")</f>
        <v>Ссылка</v>
      </c>
      <c r="E512" s="928" t="str">
        <f>HYPERLINK("https://adv-map.ru/place/?LINK=220cff97053198b238fc20ff021d4079","Ссылка")</f>
        <v>Ссылка</v>
      </c>
      <c r="F512" s="9" t="s">
        <v>702</v>
      </c>
      <c r="G512" s="10" t="s">
        <v>16</v>
      </c>
      <c r="H512" s="11">
        <v>25000</v>
      </c>
      <c r="I512" s="12"/>
    </row>
    <row r="513" spans="1:9" s="8" customFormat="1" ht="18" customHeight="1" outlineLevel="1" x14ac:dyDescent="0.2">
      <c r="A513" s="9" t="s">
        <v>703</v>
      </c>
      <c r="B513" s="9" t="s">
        <v>13</v>
      </c>
      <c r="C513" s="9" t="s">
        <v>699</v>
      </c>
      <c r="D513" s="929" t="str">
        <f>HYPERLINK("https://cloud.mail.ru/public/ZVsr/yRjaBn4UV","Ссылка")</f>
        <v>Ссылка</v>
      </c>
      <c r="E513" s="930" t="str">
        <f>HYPERLINK("https://adv-map.ru/place/?LINK=4bb15710dd7b00bdc81944619e52f87f","Ссылка")</f>
        <v>Ссылка</v>
      </c>
      <c r="F513" s="9" t="s">
        <v>704</v>
      </c>
      <c r="G513" s="10" t="s">
        <v>16</v>
      </c>
      <c r="H513" s="11">
        <v>31000</v>
      </c>
      <c r="I513" s="12"/>
    </row>
    <row r="514" spans="1:9" s="8" customFormat="1" ht="18" customHeight="1" outlineLevel="1" x14ac:dyDescent="0.2">
      <c r="A514" s="9" t="s">
        <v>703</v>
      </c>
      <c r="B514" s="9" t="s">
        <v>17</v>
      </c>
      <c r="C514" s="9" t="s">
        <v>699</v>
      </c>
      <c r="D514" s="931" t="str">
        <f>HYPERLINK("https://cloud.mail.ru/public/9ERV/uG9LPqvPQ","Ссылка")</f>
        <v>Ссылка</v>
      </c>
      <c r="E514" s="932" t="str">
        <f>HYPERLINK("https://adv-map.ru/place/?LINK=8cc7fb43c01ae308fd807a7882a57f58","Ссылка")</f>
        <v>Ссылка</v>
      </c>
      <c r="F514" s="9" t="s">
        <v>704</v>
      </c>
      <c r="G514" s="10" t="s">
        <v>16</v>
      </c>
      <c r="H514" s="11">
        <v>25000</v>
      </c>
      <c r="I514" s="12"/>
    </row>
    <row r="515" spans="1:9" s="8" customFormat="1" ht="18" customHeight="1" outlineLevel="1" x14ac:dyDescent="0.2">
      <c r="A515" s="9" t="s">
        <v>705</v>
      </c>
      <c r="B515" s="9" t="s">
        <v>22</v>
      </c>
      <c r="C515" s="9" t="s">
        <v>706</v>
      </c>
      <c r="D515" s="933" t="str">
        <f>HYPERLINK("https://cloud.mail.ru/public/BvWh/Bc4vyX99S","Ссылка")</f>
        <v>Ссылка</v>
      </c>
      <c r="E515" s="934" t="str">
        <f>HYPERLINK("https://adv-map.ru/place/?LINK=6e187f9c409105e8488397fc69926670","Ссылка")</f>
        <v>Ссылка</v>
      </c>
      <c r="F515" s="9" t="s">
        <v>707</v>
      </c>
      <c r="G515" s="10" t="s">
        <v>51</v>
      </c>
      <c r="H515" s="11">
        <v>32000</v>
      </c>
      <c r="I515" s="13" t="s">
        <v>26</v>
      </c>
    </row>
    <row r="516" spans="1:9" s="8" customFormat="1" ht="18" customHeight="1" outlineLevel="1" x14ac:dyDescent="0.2">
      <c r="A516" s="9" t="s">
        <v>705</v>
      </c>
      <c r="B516" s="9" t="s">
        <v>27</v>
      </c>
      <c r="C516" s="9" t="s">
        <v>706</v>
      </c>
      <c r="D516" s="933" t="str">
        <f>HYPERLINK("https://cloud.mail.ru/public/BvWh/Bc4vyX99S","Ссылка")</f>
        <v>Ссылка</v>
      </c>
      <c r="E516" s="935" t="str">
        <f>HYPERLINK("https://adv-map.ru/place/?LINK=01a74c8420abf395e0a0458825b55f63","Ссылка")</f>
        <v>Ссылка</v>
      </c>
      <c r="F516" s="9" t="s">
        <v>707</v>
      </c>
      <c r="G516" s="10" t="s">
        <v>51</v>
      </c>
      <c r="H516" s="11">
        <v>32000</v>
      </c>
      <c r="I516" s="12"/>
    </row>
    <row r="517" spans="1:9" s="8" customFormat="1" ht="18" customHeight="1" outlineLevel="1" x14ac:dyDescent="0.2">
      <c r="A517" s="9" t="s">
        <v>705</v>
      </c>
      <c r="B517" s="9" t="s">
        <v>28</v>
      </c>
      <c r="C517" s="9" t="s">
        <v>706</v>
      </c>
      <c r="D517" s="933" t="str">
        <f>HYPERLINK("https://cloud.mail.ru/public/BvWh/Bc4vyX99S","Ссылка")</f>
        <v>Ссылка</v>
      </c>
      <c r="E517" s="936" t="str">
        <f>HYPERLINK("https://adv-map.ru/place/?LINK=a284d544ccaccb897d9e68bf67be513a","Ссылка")</f>
        <v>Ссылка</v>
      </c>
      <c r="F517" s="9" t="s">
        <v>707</v>
      </c>
      <c r="G517" s="10" t="s">
        <v>51</v>
      </c>
      <c r="H517" s="11">
        <v>32000</v>
      </c>
      <c r="I517" s="12"/>
    </row>
    <row r="518" spans="1:9" s="8" customFormat="1" ht="18" customHeight="1" outlineLevel="1" x14ac:dyDescent="0.2">
      <c r="A518" s="9" t="s">
        <v>705</v>
      </c>
      <c r="B518" s="9" t="s">
        <v>17</v>
      </c>
      <c r="C518" s="9" t="s">
        <v>706</v>
      </c>
      <c r="D518" s="937" t="str">
        <f>HYPERLINK("https://cloud.mail.ru/public/E8UT/pygEhVJUD","Ссылка")</f>
        <v>Ссылка</v>
      </c>
      <c r="E518" s="938" t="str">
        <f>HYPERLINK("https://adv-map.ru/place/?LINK=721a200f2dfdc23c099c492a51f43264","Ссылка")</f>
        <v>Ссылка</v>
      </c>
      <c r="F518" s="9" t="s">
        <v>707</v>
      </c>
      <c r="G518" s="10" t="s">
        <v>16</v>
      </c>
      <c r="H518" s="11">
        <v>33000</v>
      </c>
      <c r="I518" s="13" t="s">
        <v>26</v>
      </c>
    </row>
    <row r="519" spans="1:9" s="8" customFormat="1" ht="18" customHeight="1" outlineLevel="1" x14ac:dyDescent="0.2">
      <c r="A519" s="9" t="s">
        <v>708</v>
      </c>
      <c r="B519" s="9" t="s">
        <v>13</v>
      </c>
      <c r="C519" s="9" t="s">
        <v>709</v>
      </c>
      <c r="D519" s="939" t="str">
        <f>HYPERLINK("https://cloud.mail.ru/public/gaUr/vCHtFcsYh","Ссылка")</f>
        <v>Ссылка</v>
      </c>
      <c r="E519" s="940" t="str">
        <f>HYPERLINK("https://adv-map.ru/place/?LINK=fbbb70dcedcb69c02fb85ce4b0a74d5f","Ссылка")</f>
        <v>Ссылка</v>
      </c>
      <c r="F519" s="9" t="s">
        <v>710</v>
      </c>
      <c r="G519" s="10" t="s">
        <v>16</v>
      </c>
      <c r="H519" s="11">
        <v>29000</v>
      </c>
      <c r="I519" s="12"/>
    </row>
    <row r="520" spans="1:9" s="8" customFormat="1" ht="18" customHeight="1" outlineLevel="1" x14ac:dyDescent="0.2">
      <c r="A520" s="9" t="s">
        <v>708</v>
      </c>
      <c r="B520" s="9" t="s">
        <v>17</v>
      </c>
      <c r="C520" s="9" t="s">
        <v>709</v>
      </c>
      <c r="D520" s="941" t="str">
        <f>HYPERLINK("https://cloud.mail.ru/public/UxnX/2seZt2egA","Ссылка")</f>
        <v>Ссылка</v>
      </c>
      <c r="E520" s="942" t="str">
        <f>HYPERLINK("https://adv-map.ru/place/?LINK=53be8e281ff0f85bb9c681e047e23129","Ссылка")</f>
        <v>Ссылка</v>
      </c>
      <c r="F520" s="9" t="s">
        <v>710</v>
      </c>
      <c r="G520" s="10" t="s">
        <v>16</v>
      </c>
      <c r="H520" s="11">
        <v>29000</v>
      </c>
      <c r="I520" s="12"/>
    </row>
    <row r="521" spans="1:9" s="8" customFormat="1" ht="18" customHeight="1" outlineLevel="1" x14ac:dyDescent="0.2">
      <c r="A521" s="9" t="s">
        <v>711</v>
      </c>
      <c r="B521" s="9" t="s">
        <v>22</v>
      </c>
      <c r="C521" s="9" t="s">
        <v>712</v>
      </c>
      <c r="D521" s="943" t="str">
        <f>HYPERLINK("https://cloud.mail.ru/public/qk7J/2hH9a4B7g","Ссылка")</f>
        <v>Ссылка</v>
      </c>
      <c r="E521" s="944" t="str">
        <f>HYPERLINK("https://adv-map.ru/place/?LINK=58cb0c23e38cde70e021c0193f55e404","Ссылка")</f>
        <v>Ссылка</v>
      </c>
      <c r="F521" s="9" t="s">
        <v>713</v>
      </c>
      <c r="G521" s="10" t="s">
        <v>51</v>
      </c>
      <c r="H521" s="11">
        <v>30000</v>
      </c>
      <c r="I521" s="12"/>
    </row>
    <row r="522" spans="1:9" s="8" customFormat="1" ht="18" customHeight="1" outlineLevel="1" x14ac:dyDescent="0.2">
      <c r="A522" s="9" t="s">
        <v>711</v>
      </c>
      <c r="B522" s="9" t="s">
        <v>27</v>
      </c>
      <c r="C522" s="9" t="s">
        <v>712</v>
      </c>
      <c r="D522" s="943" t="str">
        <f>HYPERLINK("https://cloud.mail.ru/public/qk7J/2hH9a4B7g","Ссылка")</f>
        <v>Ссылка</v>
      </c>
      <c r="E522" s="945" t="str">
        <f>HYPERLINK("https://adv-map.ru/place/?LINK=795ccf3ef223980d4489c7ec08d134f0","Ссылка")</f>
        <v>Ссылка</v>
      </c>
      <c r="F522" s="9" t="s">
        <v>713</v>
      </c>
      <c r="G522" s="10" t="s">
        <v>51</v>
      </c>
      <c r="H522" s="11">
        <v>30000</v>
      </c>
      <c r="I522" s="12"/>
    </row>
    <row r="523" spans="1:9" s="8" customFormat="1" ht="18" customHeight="1" outlineLevel="1" x14ac:dyDescent="0.2">
      <c r="A523" s="9" t="s">
        <v>711</v>
      </c>
      <c r="B523" s="9" t="s">
        <v>28</v>
      </c>
      <c r="C523" s="9" t="s">
        <v>712</v>
      </c>
      <c r="D523" s="943" t="str">
        <f>HYPERLINK("https://cloud.mail.ru/public/qk7J/2hH9a4B7g","Ссылка")</f>
        <v>Ссылка</v>
      </c>
      <c r="E523" s="946" t="str">
        <f>HYPERLINK("https://adv-map.ru/place/?LINK=0a5e18839dee37927132c62ce40cd406","Ссылка")</f>
        <v>Ссылка</v>
      </c>
      <c r="F523" s="9" t="s">
        <v>713</v>
      </c>
      <c r="G523" s="10" t="s">
        <v>51</v>
      </c>
      <c r="H523" s="11">
        <v>30000</v>
      </c>
      <c r="I523" s="12"/>
    </row>
    <row r="524" spans="1:9" s="8" customFormat="1" ht="18" customHeight="1" outlineLevel="1" x14ac:dyDescent="0.2">
      <c r="A524" s="9" t="s">
        <v>711</v>
      </c>
      <c r="B524" s="9" t="s">
        <v>17</v>
      </c>
      <c r="C524" s="9" t="s">
        <v>712</v>
      </c>
      <c r="D524" s="947" t="str">
        <f>HYPERLINK("https://cloud.mail.ru/public/ebKq/zrSNtFYW8","Ссылка")</f>
        <v>Ссылка</v>
      </c>
      <c r="E524" s="948" t="str">
        <f>HYPERLINK("https://adv-map.ru/place/?LINK=67c653801365bbdaf8cf109442564f3f","Ссылка")</f>
        <v>Ссылка</v>
      </c>
      <c r="F524" s="9" t="s">
        <v>713</v>
      </c>
      <c r="G524" s="10" t="s">
        <v>16</v>
      </c>
      <c r="H524" s="11">
        <v>33000</v>
      </c>
      <c r="I524" s="13" t="s">
        <v>26</v>
      </c>
    </row>
    <row r="525" spans="1:9" s="8" customFormat="1" ht="18" customHeight="1" outlineLevel="1" x14ac:dyDescent="0.2">
      <c r="A525" s="9" t="s">
        <v>714</v>
      </c>
      <c r="B525" s="9" t="s">
        <v>13</v>
      </c>
      <c r="C525" s="9" t="s">
        <v>715</v>
      </c>
      <c r="D525" s="949" t="str">
        <f>HYPERLINK("https://cloud.mail.ru/public/vXX2/KWCmWCZiR","Ссылка")</f>
        <v>Ссылка</v>
      </c>
      <c r="E525" s="950" t="str">
        <f>HYPERLINK("https://adv-map.ru/place/?LINK=7e970a6afb202e71abdc9c97427f26d1","Ссылка")</f>
        <v>Ссылка</v>
      </c>
      <c r="F525" s="9" t="s">
        <v>716</v>
      </c>
      <c r="G525" s="10" t="s">
        <v>16</v>
      </c>
      <c r="H525" s="11">
        <v>27000</v>
      </c>
      <c r="I525" s="12"/>
    </row>
    <row r="526" spans="1:9" s="8" customFormat="1" ht="18" customHeight="1" outlineLevel="1" x14ac:dyDescent="0.2">
      <c r="A526" s="9" t="s">
        <v>714</v>
      </c>
      <c r="B526" s="9" t="s">
        <v>17</v>
      </c>
      <c r="C526" s="9" t="s">
        <v>715</v>
      </c>
      <c r="D526" s="951" t="str">
        <f>HYPERLINK("https://cloud.mail.ru/public/1QUY/ab4bEQfz1","Ссылка")</f>
        <v>Ссылка</v>
      </c>
      <c r="E526" s="952" t="str">
        <f>HYPERLINK("https://adv-map.ru/place/?LINK=6a64d323794a06eac4f889a6000b3269","Ссылка")</f>
        <v>Ссылка</v>
      </c>
      <c r="F526" s="9" t="s">
        <v>716</v>
      </c>
      <c r="G526" s="10" t="s">
        <v>16</v>
      </c>
      <c r="H526" s="11">
        <v>25000</v>
      </c>
      <c r="I526" s="12"/>
    </row>
    <row r="527" spans="1:9" s="8" customFormat="1" ht="18" customHeight="1" outlineLevel="1" x14ac:dyDescent="0.2">
      <c r="A527" s="9" t="s">
        <v>717</v>
      </c>
      <c r="B527" s="9" t="s">
        <v>22</v>
      </c>
      <c r="C527" s="9" t="s">
        <v>99</v>
      </c>
      <c r="D527" s="953" t="str">
        <f>HYPERLINK("https://cloud.mail.ru/public/hKhe/ry5LUnAbP","Ссылка")</f>
        <v>Ссылка</v>
      </c>
      <c r="E527" s="954" t="str">
        <f>HYPERLINK("https://adv-map.ru/place/?LINK=dd588a3593d842d120589f24873f1e7f","Ссылка")</f>
        <v>Ссылка</v>
      </c>
      <c r="F527" s="9" t="s">
        <v>718</v>
      </c>
      <c r="G527" s="10" t="s">
        <v>25</v>
      </c>
      <c r="H527" s="11">
        <v>49500</v>
      </c>
      <c r="I527" s="13" t="s">
        <v>26</v>
      </c>
    </row>
    <row r="528" spans="1:9" s="8" customFormat="1" ht="18" customHeight="1" outlineLevel="1" x14ac:dyDescent="0.2">
      <c r="A528" s="9" t="s">
        <v>717</v>
      </c>
      <c r="B528" s="9" t="s">
        <v>27</v>
      </c>
      <c r="C528" s="9" t="s">
        <v>99</v>
      </c>
      <c r="D528" s="953" t="str">
        <f>HYPERLINK("https://cloud.mail.ru/public/hKhe/ry5LUnAbP","Ссылка")</f>
        <v>Ссылка</v>
      </c>
      <c r="E528" s="955" t="str">
        <f>HYPERLINK("https://adv-map.ru/place/?LINK=933a10d7935af896e811eeefcbd6e700","Ссылка")</f>
        <v>Ссылка</v>
      </c>
      <c r="F528" s="9" t="s">
        <v>718</v>
      </c>
      <c r="G528" s="10" t="s">
        <v>25</v>
      </c>
      <c r="H528" s="11">
        <v>49500</v>
      </c>
      <c r="I528" s="12"/>
    </row>
    <row r="529" spans="1:9" s="8" customFormat="1" ht="18" customHeight="1" outlineLevel="1" x14ac:dyDescent="0.2">
      <c r="A529" s="9" t="s">
        <v>717</v>
      </c>
      <c r="B529" s="9" t="s">
        <v>28</v>
      </c>
      <c r="C529" s="9" t="s">
        <v>99</v>
      </c>
      <c r="D529" s="953" t="str">
        <f>HYPERLINK("https://cloud.mail.ru/public/hKhe/ry5LUnAbP","Ссылка")</f>
        <v>Ссылка</v>
      </c>
      <c r="E529" s="956" t="str">
        <f>HYPERLINK("https://adv-map.ru/place/?LINK=ee29af4a854e8e6c43370d2c5aaa7904","Ссылка")</f>
        <v>Ссылка</v>
      </c>
      <c r="F529" s="9" t="s">
        <v>718</v>
      </c>
      <c r="G529" s="10" t="s">
        <v>25</v>
      </c>
      <c r="H529" s="11">
        <v>49500</v>
      </c>
      <c r="I529" s="13" t="s">
        <v>26</v>
      </c>
    </row>
    <row r="530" spans="1:9" s="8" customFormat="1" ht="18" customHeight="1" outlineLevel="1" x14ac:dyDescent="0.2">
      <c r="A530" s="9" t="s">
        <v>719</v>
      </c>
      <c r="B530" s="9" t="s">
        <v>13</v>
      </c>
      <c r="C530" s="9" t="s">
        <v>720</v>
      </c>
      <c r="D530" s="957" t="str">
        <f>HYPERLINK("https://cloud.mail.ru/public/daZM/fatZjAvqm","Ссылка")</f>
        <v>Ссылка</v>
      </c>
      <c r="E530" s="958" t="str">
        <f>HYPERLINK("https://adv-map.ru/place/?LINK=41aa720d5eadd9f657da7c01564861cd","Ссылка")</f>
        <v>Ссылка</v>
      </c>
      <c r="F530" s="9" t="s">
        <v>721</v>
      </c>
      <c r="G530" s="10" t="s">
        <v>16</v>
      </c>
      <c r="H530" s="11">
        <v>27000</v>
      </c>
      <c r="I530" s="12"/>
    </row>
    <row r="531" spans="1:9" s="8" customFormat="1" ht="18" customHeight="1" outlineLevel="1" x14ac:dyDescent="0.2">
      <c r="A531" s="9" t="s">
        <v>719</v>
      </c>
      <c r="B531" s="9" t="s">
        <v>17</v>
      </c>
      <c r="C531" s="9" t="s">
        <v>720</v>
      </c>
      <c r="D531" s="959" t="str">
        <f>HYPERLINK("https://cloud.mail.ru/public/Lbbg/bBNrhW4am","Ссылка")</f>
        <v>Ссылка</v>
      </c>
      <c r="E531" s="960" t="str">
        <f>HYPERLINK("https://adv-map.ru/place/?LINK=cc0103272e92eee55aec9c61845e5ced","Ссылка")</f>
        <v>Ссылка</v>
      </c>
      <c r="F531" s="9" t="s">
        <v>721</v>
      </c>
      <c r="G531" s="10" t="s">
        <v>16</v>
      </c>
      <c r="H531" s="11">
        <v>25000</v>
      </c>
      <c r="I531" s="12"/>
    </row>
    <row r="532" spans="1:9" s="8" customFormat="1" ht="18" customHeight="1" outlineLevel="1" x14ac:dyDescent="0.2">
      <c r="A532" s="9" t="s">
        <v>722</v>
      </c>
      <c r="B532" s="9" t="s">
        <v>13</v>
      </c>
      <c r="C532" s="9" t="s">
        <v>699</v>
      </c>
      <c r="D532" s="961" t="str">
        <f>HYPERLINK("https://cloud.mail.ru/public/c91r/FBZWsaGYJ","Ссылка")</f>
        <v>Ссылка</v>
      </c>
      <c r="E532" s="962" t="str">
        <f>HYPERLINK("https://adv-map.ru/place/?LINK=d3c4bd12c2fa3c0c8499eca395b3ebdb","Ссылка")</f>
        <v>Ссылка</v>
      </c>
      <c r="F532" s="9" t="s">
        <v>723</v>
      </c>
      <c r="G532" s="10" t="s">
        <v>16</v>
      </c>
      <c r="H532" s="11">
        <v>29000</v>
      </c>
      <c r="I532" s="13" t="s">
        <v>26</v>
      </c>
    </row>
    <row r="533" spans="1:9" s="8" customFormat="1" ht="18" customHeight="1" outlineLevel="1" x14ac:dyDescent="0.2">
      <c r="A533" s="9" t="s">
        <v>722</v>
      </c>
      <c r="B533" s="9" t="s">
        <v>22</v>
      </c>
      <c r="C533" s="9" t="s">
        <v>699</v>
      </c>
      <c r="D533" s="963" t="str">
        <f>HYPERLINK("https://cloud.mail.ru/public/HkSt/SopPAgXPY","Ссылка")</f>
        <v>Ссылка</v>
      </c>
      <c r="E533" s="964" t="str">
        <f>HYPERLINK("https://adv-map.ru/place/?LINK=5d4a93c48a30b7eb901495f3cb4819ee","Ссылка")</f>
        <v>Ссылка</v>
      </c>
      <c r="F533" s="9" t="s">
        <v>723</v>
      </c>
      <c r="G533" s="10" t="s">
        <v>16</v>
      </c>
      <c r="H533" s="11">
        <v>33000</v>
      </c>
      <c r="I533" s="13" t="s">
        <v>26</v>
      </c>
    </row>
    <row r="534" spans="1:9" s="8" customFormat="1" ht="18" customHeight="1" outlineLevel="1" x14ac:dyDescent="0.2">
      <c r="A534" s="9" t="s">
        <v>722</v>
      </c>
      <c r="B534" s="9" t="s">
        <v>165</v>
      </c>
      <c r="C534" s="9" t="s">
        <v>699</v>
      </c>
      <c r="D534" s="965" t="str">
        <f>HYPERLINK("https://cloud.mail.ru/public/7s2g/gLpZZ241N","Ссылка")</f>
        <v>Ссылка</v>
      </c>
      <c r="E534" s="966" t="str">
        <f>HYPERLINK("https://adv-map.ru/place/?LINK=5b26b277f069e99793e7be1d1dffeffd","Ссылка")</f>
        <v>Ссылка</v>
      </c>
      <c r="F534" s="9" t="s">
        <v>723</v>
      </c>
      <c r="G534" s="10" t="s">
        <v>51</v>
      </c>
      <c r="H534" s="11">
        <v>26500</v>
      </c>
      <c r="I534" s="12"/>
    </row>
    <row r="535" spans="1:9" s="8" customFormat="1" ht="18" customHeight="1" outlineLevel="1" x14ac:dyDescent="0.2">
      <c r="A535" s="9" t="s">
        <v>722</v>
      </c>
      <c r="B535" s="9" t="s">
        <v>166</v>
      </c>
      <c r="C535" s="9" t="s">
        <v>699</v>
      </c>
      <c r="D535" s="965" t="str">
        <f>HYPERLINK("https://cloud.mail.ru/public/7s2g/gLpZZ241N","Ссылка")</f>
        <v>Ссылка</v>
      </c>
      <c r="E535" s="967" t="str">
        <f>HYPERLINK("https://adv-map.ru/place/?LINK=846988da4771d8c7048f24bbe7da2112","Ссылка")</f>
        <v>Ссылка</v>
      </c>
      <c r="F535" s="9" t="s">
        <v>723</v>
      </c>
      <c r="G535" s="10" t="s">
        <v>51</v>
      </c>
      <c r="H535" s="11">
        <v>26500</v>
      </c>
      <c r="I535" s="13" t="s">
        <v>26</v>
      </c>
    </row>
    <row r="536" spans="1:9" s="8" customFormat="1" ht="18" customHeight="1" outlineLevel="1" x14ac:dyDescent="0.2">
      <c r="A536" s="9" t="s">
        <v>722</v>
      </c>
      <c r="B536" s="9" t="s">
        <v>167</v>
      </c>
      <c r="C536" s="9" t="s">
        <v>699</v>
      </c>
      <c r="D536" s="965" t="str">
        <f>HYPERLINK("https://cloud.mail.ru/public/7s2g/gLpZZ241N","Ссылка")</f>
        <v>Ссылка</v>
      </c>
      <c r="E536" s="968" t="str">
        <f>HYPERLINK("https://adv-map.ru/place/?LINK=73255a05b53c02c36ec6a3f215df81e7","Ссылка")</f>
        <v>Ссылка</v>
      </c>
      <c r="F536" s="9" t="s">
        <v>723</v>
      </c>
      <c r="G536" s="10" t="s">
        <v>51</v>
      </c>
      <c r="H536" s="11">
        <v>26500</v>
      </c>
      <c r="I536" s="12"/>
    </row>
    <row r="537" spans="1:9" s="8" customFormat="1" ht="18" customHeight="1" outlineLevel="1" x14ac:dyDescent="0.2">
      <c r="A537" s="9" t="s">
        <v>724</v>
      </c>
      <c r="B537" s="9" t="s">
        <v>13</v>
      </c>
      <c r="C537" s="9" t="s">
        <v>725</v>
      </c>
      <c r="D537" s="969" t="str">
        <f>HYPERLINK("https://cloud.mail.ru/public/ZDxb/qBWp3sz6y","Ссылка")</f>
        <v>Ссылка</v>
      </c>
      <c r="E537" s="970" t="str">
        <f>HYPERLINK("https://adv-map.ru/place/?LINK=2d6b415380f8584eabc1a6122f5e92d1","Ссылка")</f>
        <v>Ссылка</v>
      </c>
      <c r="F537" s="9" t="s">
        <v>726</v>
      </c>
      <c r="G537" s="10" t="s">
        <v>16</v>
      </c>
      <c r="H537" s="11">
        <v>31000</v>
      </c>
      <c r="I537" s="13" t="s">
        <v>26</v>
      </c>
    </row>
    <row r="538" spans="1:9" s="8" customFormat="1" ht="18" customHeight="1" outlineLevel="1" x14ac:dyDescent="0.2">
      <c r="A538" s="9" t="s">
        <v>724</v>
      </c>
      <c r="B538" s="9" t="s">
        <v>17</v>
      </c>
      <c r="C538" s="9" t="s">
        <v>725</v>
      </c>
      <c r="D538" s="971" t="str">
        <f>HYPERLINK("https://cloud.mail.ru/public/yinF/W5hbpFbTy","Ссылка")</f>
        <v>Ссылка</v>
      </c>
      <c r="E538" s="972" t="str">
        <f>HYPERLINK("https://adv-map.ru/place/?LINK=53ac338e9f5e4b36f920c52894ef42ab","Ссылка")</f>
        <v>Ссылка</v>
      </c>
      <c r="F538" s="9" t="s">
        <v>726</v>
      </c>
      <c r="G538" s="10" t="s">
        <v>16</v>
      </c>
      <c r="H538" s="11">
        <v>31000</v>
      </c>
      <c r="I538" s="13" t="s">
        <v>26</v>
      </c>
    </row>
    <row r="539" spans="1:9" s="8" customFormat="1" ht="18" customHeight="1" outlineLevel="1" x14ac:dyDescent="0.2">
      <c r="A539" s="9" t="s">
        <v>724</v>
      </c>
      <c r="B539" s="9" t="s">
        <v>292</v>
      </c>
      <c r="C539" s="9" t="s">
        <v>725</v>
      </c>
      <c r="D539" s="973" t="str">
        <f>HYPERLINK("https://cloud.mail.ru/public/65fC/PAG967Ckq","Ссылка")</f>
        <v>Ссылка</v>
      </c>
      <c r="E539" s="974" t="str">
        <f>HYPERLINK("https://adv-map.ru/place/?LINK=44a5be17e0501ced696002c5155ce281","Ссылка")</f>
        <v>Ссылка</v>
      </c>
      <c r="F539" s="9" t="s">
        <v>726</v>
      </c>
      <c r="G539" s="10" t="s">
        <v>16</v>
      </c>
      <c r="H539" s="11">
        <v>29000</v>
      </c>
      <c r="I539" s="12"/>
    </row>
    <row r="540" spans="1:9" s="8" customFormat="1" ht="18" customHeight="1" outlineLevel="1" x14ac:dyDescent="0.2">
      <c r="A540" s="9" t="s">
        <v>727</v>
      </c>
      <c r="B540" s="9" t="s">
        <v>22</v>
      </c>
      <c r="C540" s="9" t="s">
        <v>728</v>
      </c>
      <c r="D540" s="975" t="str">
        <f>HYPERLINK("https://cloud.mail.ru/public/5QkB/KnJzYjbd3","Ссылка")</f>
        <v>Ссылка</v>
      </c>
      <c r="E540" s="976" t="str">
        <f>HYPERLINK("https://adv-map.ru/place/?LINK=fe7fdbaa2e18e27d2d5761517eb8877b","Ссылка")</f>
        <v>Ссылка</v>
      </c>
      <c r="F540" s="9" t="s">
        <v>639</v>
      </c>
      <c r="G540" s="10" t="s">
        <v>51</v>
      </c>
      <c r="H540" s="11">
        <v>27500</v>
      </c>
      <c r="I540" s="12"/>
    </row>
    <row r="541" spans="1:9" s="8" customFormat="1" ht="18" customHeight="1" outlineLevel="1" x14ac:dyDescent="0.2">
      <c r="A541" s="9" t="s">
        <v>727</v>
      </c>
      <c r="B541" s="9" t="s">
        <v>27</v>
      </c>
      <c r="C541" s="9" t="s">
        <v>728</v>
      </c>
      <c r="D541" s="975" t="str">
        <f>HYPERLINK("https://cloud.mail.ru/public/5QkB/KnJzYjbd3","Ссылка")</f>
        <v>Ссылка</v>
      </c>
      <c r="E541" s="977" t="str">
        <f>HYPERLINK("https://adv-map.ru/place/?LINK=6630c54fb7fc8af34ef3836b7929ab7e","Ссылка")</f>
        <v>Ссылка</v>
      </c>
      <c r="F541" s="9" t="s">
        <v>639</v>
      </c>
      <c r="G541" s="10" t="s">
        <v>51</v>
      </c>
      <c r="H541" s="11">
        <v>27500</v>
      </c>
      <c r="I541" s="12"/>
    </row>
    <row r="542" spans="1:9" s="8" customFormat="1" ht="18" customHeight="1" outlineLevel="1" x14ac:dyDescent="0.2">
      <c r="A542" s="9" t="s">
        <v>727</v>
      </c>
      <c r="B542" s="9" t="s">
        <v>28</v>
      </c>
      <c r="C542" s="9" t="s">
        <v>728</v>
      </c>
      <c r="D542" s="975" t="str">
        <f>HYPERLINK("https://cloud.mail.ru/public/5QkB/KnJzYjbd3","Ссылка")</f>
        <v>Ссылка</v>
      </c>
      <c r="E542" s="978" t="str">
        <f>HYPERLINK("https://adv-map.ru/place/?LINK=3638aa912714216db37b16a27b3f2ede","Ссылка")</f>
        <v>Ссылка</v>
      </c>
      <c r="F542" s="9" t="s">
        <v>639</v>
      </c>
      <c r="G542" s="10" t="s">
        <v>51</v>
      </c>
      <c r="H542" s="11">
        <v>27500</v>
      </c>
      <c r="I542" s="12"/>
    </row>
    <row r="543" spans="1:9" s="8" customFormat="1" ht="18" customHeight="1" outlineLevel="1" x14ac:dyDescent="0.2">
      <c r="A543" s="9" t="s">
        <v>727</v>
      </c>
      <c r="B543" s="9" t="s">
        <v>17</v>
      </c>
      <c r="C543" s="9" t="s">
        <v>728</v>
      </c>
      <c r="D543" s="979" t="str">
        <f>HYPERLINK("https://cloud.mail.ru/public/Z1AW/q55arvXMj","Ссылка")</f>
        <v>Ссылка</v>
      </c>
      <c r="E543" s="980" t="str">
        <f>HYPERLINK("https://adv-map.ru/place/?LINK=004dfc00aee34731fdde54fd160739df","Ссылка")</f>
        <v>Ссылка</v>
      </c>
      <c r="F543" s="9" t="s">
        <v>639</v>
      </c>
      <c r="G543" s="10" t="s">
        <v>16</v>
      </c>
      <c r="H543" s="11">
        <v>31000</v>
      </c>
      <c r="I543" s="12"/>
    </row>
    <row r="544" spans="1:9" s="8" customFormat="1" ht="18" customHeight="1" outlineLevel="1" x14ac:dyDescent="0.2">
      <c r="A544" s="9" t="s">
        <v>729</v>
      </c>
      <c r="B544" s="9" t="s">
        <v>13</v>
      </c>
      <c r="C544" s="9" t="s">
        <v>730</v>
      </c>
      <c r="D544" s="981" t="str">
        <f>HYPERLINK("https://cloud.mail.ru/public/caD7/dNFAJntEy","Ссылка")</f>
        <v>Ссылка</v>
      </c>
      <c r="E544" s="982" t="str">
        <f>HYPERLINK("https://adv-map.ru/place/?LINK=4ff4acebeef51fae37b8c54076dad1bf","Ссылка")</f>
        <v>Ссылка</v>
      </c>
      <c r="F544" s="9" t="s">
        <v>731</v>
      </c>
      <c r="G544" s="10" t="s">
        <v>16</v>
      </c>
      <c r="H544" s="11">
        <v>27000</v>
      </c>
      <c r="I544" s="12"/>
    </row>
    <row r="545" spans="1:9" s="8" customFormat="1" ht="18" customHeight="1" outlineLevel="1" x14ac:dyDescent="0.2">
      <c r="A545" s="9" t="s">
        <v>729</v>
      </c>
      <c r="B545" s="9" t="s">
        <v>17</v>
      </c>
      <c r="C545" s="9" t="s">
        <v>730</v>
      </c>
      <c r="D545" s="983" t="str">
        <f>HYPERLINK("https://cloud.mail.ru/public/V5hZ/wfYQFcPzo","Ссылка")</f>
        <v>Ссылка</v>
      </c>
      <c r="E545" s="984" t="str">
        <f>HYPERLINK("https://adv-map.ru/place/?LINK=96ae1b786d93f93d7db0b30340403f43","Ссылка")</f>
        <v>Ссылка</v>
      </c>
      <c r="F545" s="9" t="s">
        <v>731</v>
      </c>
      <c r="G545" s="10" t="s">
        <v>16</v>
      </c>
      <c r="H545" s="11">
        <v>25000</v>
      </c>
      <c r="I545" s="12"/>
    </row>
    <row r="546" spans="1:9" s="8" customFormat="1" ht="18" customHeight="1" outlineLevel="1" x14ac:dyDescent="0.2">
      <c r="A546" s="9" t="s">
        <v>732</v>
      </c>
      <c r="B546" s="9" t="s">
        <v>13</v>
      </c>
      <c r="C546" s="9" t="s">
        <v>733</v>
      </c>
      <c r="D546" s="985" t="str">
        <f>HYPERLINK("https://cloud.mail.ru/public/7RsK/cpxenztAz","Ссылка")</f>
        <v>Ссылка</v>
      </c>
      <c r="E546" s="986" t="str">
        <f>HYPERLINK("https://adv-map.ru/place/?LINK=cc8086173d82030d8b45cc056090ff1b","Ссылка")</f>
        <v>Ссылка</v>
      </c>
      <c r="F546" s="9" t="s">
        <v>734</v>
      </c>
      <c r="G546" s="10" t="s">
        <v>16</v>
      </c>
      <c r="H546" s="11">
        <v>27000</v>
      </c>
      <c r="I546" s="12"/>
    </row>
    <row r="547" spans="1:9" s="8" customFormat="1" ht="18" customHeight="1" outlineLevel="1" x14ac:dyDescent="0.2">
      <c r="A547" s="9" t="s">
        <v>732</v>
      </c>
      <c r="B547" s="9" t="s">
        <v>17</v>
      </c>
      <c r="C547" s="9" t="s">
        <v>733</v>
      </c>
      <c r="D547" s="987" t="str">
        <f>HYPERLINK("https://cloud.mail.ru/public/PNBs/WZyXpUbDR","Ссылка")</f>
        <v>Ссылка</v>
      </c>
      <c r="E547" s="988" t="str">
        <f>HYPERLINK("https://adv-map.ru/place/?LINK=323afd250dc83783f2abc74180a663ae","Ссылка")</f>
        <v>Ссылка</v>
      </c>
      <c r="F547" s="9" t="s">
        <v>734</v>
      </c>
      <c r="G547" s="10" t="s">
        <v>16</v>
      </c>
      <c r="H547" s="11">
        <v>25000</v>
      </c>
      <c r="I547" s="12"/>
    </row>
    <row r="548" spans="1:9" s="8" customFormat="1" ht="18" customHeight="1" outlineLevel="1" x14ac:dyDescent="0.2">
      <c r="A548" s="9" t="s">
        <v>735</v>
      </c>
      <c r="B548" s="9" t="s">
        <v>13</v>
      </c>
      <c r="C548" s="9" t="s">
        <v>736</v>
      </c>
      <c r="D548" s="989" t="str">
        <f>HYPERLINK("https://cloud.mail.ru/public/Cefb/US6i67qKM","Ссылка")</f>
        <v>Ссылка</v>
      </c>
      <c r="E548" s="990" t="str">
        <f>HYPERLINK("https://adv-map.ru/place/?LINK=4a8f7f818efe5764ce24259b64e10f44","Ссылка")</f>
        <v>Ссылка</v>
      </c>
      <c r="F548" s="9" t="s">
        <v>737</v>
      </c>
      <c r="G548" s="10" t="s">
        <v>16</v>
      </c>
      <c r="H548" s="11">
        <v>23000</v>
      </c>
      <c r="I548" s="12"/>
    </row>
    <row r="549" spans="1:9" s="8" customFormat="1" ht="18" customHeight="1" outlineLevel="1" x14ac:dyDescent="0.2">
      <c r="A549" s="9" t="s">
        <v>735</v>
      </c>
      <c r="B549" s="9" t="s">
        <v>17</v>
      </c>
      <c r="C549" s="9" t="s">
        <v>736</v>
      </c>
      <c r="D549" s="991" t="str">
        <f>HYPERLINK("https://cloud.mail.ru/public/HmsR/oha82LQak","Ссылка")</f>
        <v>Ссылка</v>
      </c>
      <c r="E549" s="992" t="str">
        <f>HYPERLINK("https://adv-map.ru/place/?LINK=6311330c84ce94ee91b118c52c5a9dcf","Ссылка")</f>
        <v>Ссылка</v>
      </c>
      <c r="F549" s="9" t="s">
        <v>737</v>
      </c>
      <c r="G549" s="10" t="s">
        <v>16</v>
      </c>
      <c r="H549" s="11">
        <v>23000</v>
      </c>
      <c r="I549" s="13" t="s">
        <v>26</v>
      </c>
    </row>
    <row r="550" spans="1:9" s="8" customFormat="1" ht="18" customHeight="1" outlineLevel="1" x14ac:dyDescent="0.2">
      <c r="A550" s="9" t="s">
        <v>738</v>
      </c>
      <c r="B550" s="9" t="s">
        <v>13</v>
      </c>
      <c r="C550" s="9" t="s">
        <v>733</v>
      </c>
      <c r="D550" s="993" t="str">
        <f>HYPERLINK("https://cloud.mail.ru/public/TAsB/6NTthbNHA","Ссылка")</f>
        <v>Ссылка</v>
      </c>
      <c r="E550" s="994" t="str">
        <f>HYPERLINK("https://adv-map.ru/place/?LINK=9c4ab083d14912540c01565709fa1900","Ссылка")</f>
        <v>Ссылка</v>
      </c>
      <c r="F550" s="9" t="s">
        <v>739</v>
      </c>
      <c r="G550" s="10" t="s">
        <v>16</v>
      </c>
      <c r="H550" s="11">
        <v>27000</v>
      </c>
      <c r="I550" s="13" t="s">
        <v>47</v>
      </c>
    </row>
    <row r="551" spans="1:9" s="8" customFormat="1" ht="18" customHeight="1" outlineLevel="1" x14ac:dyDescent="0.2">
      <c r="A551" s="9" t="s">
        <v>738</v>
      </c>
      <c r="B551" s="9" t="s">
        <v>17</v>
      </c>
      <c r="C551" s="9" t="s">
        <v>733</v>
      </c>
      <c r="D551" s="995" t="str">
        <f>HYPERLINK("https://cloud.mail.ru/public/PNsc/AuK99Xzad","Ссылка")</f>
        <v>Ссылка</v>
      </c>
      <c r="E551" s="996" t="str">
        <f>HYPERLINK("https://adv-map.ru/place/?LINK=48c344fb3a0f54638163f403acf06269","Ссылка")</f>
        <v>Ссылка</v>
      </c>
      <c r="F551" s="9" t="s">
        <v>739</v>
      </c>
      <c r="G551" s="10" t="s">
        <v>16</v>
      </c>
      <c r="H551" s="11">
        <v>25000</v>
      </c>
      <c r="I551" s="12"/>
    </row>
    <row r="552" spans="1:9" s="8" customFormat="1" ht="18" customHeight="1" outlineLevel="1" x14ac:dyDescent="0.2">
      <c r="A552" s="9" t="s">
        <v>740</v>
      </c>
      <c r="B552" s="9" t="s">
        <v>22</v>
      </c>
      <c r="C552" s="9" t="s">
        <v>741</v>
      </c>
      <c r="D552" s="997" t="str">
        <f>HYPERLINK("https://cloud.mail.ru/public/bTtJ/HUAtePGob","Ссылка")</f>
        <v>Ссылка</v>
      </c>
      <c r="E552" s="998" t="str">
        <f>HYPERLINK("https://adv-map.ru/place/?LINK=6acad8e2bee27806bd6c62d3c9b0d853","Ссылка")</f>
        <v>Ссылка</v>
      </c>
      <c r="F552" s="9" t="s">
        <v>742</v>
      </c>
      <c r="G552" s="10" t="s">
        <v>51</v>
      </c>
      <c r="H552" s="11">
        <v>29000</v>
      </c>
      <c r="I552" s="12"/>
    </row>
    <row r="553" spans="1:9" s="8" customFormat="1" ht="18" customHeight="1" outlineLevel="1" x14ac:dyDescent="0.2">
      <c r="A553" s="9" t="s">
        <v>740</v>
      </c>
      <c r="B553" s="9" t="s">
        <v>27</v>
      </c>
      <c r="C553" s="9" t="s">
        <v>741</v>
      </c>
      <c r="D553" s="997" t="str">
        <f>HYPERLINK("https://cloud.mail.ru/public/bTtJ/HUAtePGob","Ссылка")</f>
        <v>Ссылка</v>
      </c>
      <c r="E553" s="999" t="str">
        <f>HYPERLINK("https://adv-map.ru/place/?LINK=b88b1950193bb7c869e3e19689f06195","Ссылка")</f>
        <v>Ссылка</v>
      </c>
      <c r="F553" s="9" t="s">
        <v>742</v>
      </c>
      <c r="G553" s="10" t="s">
        <v>51</v>
      </c>
      <c r="H553" s="11">
        <v>29000</v>
      </c>
      <c r="I553" s="13" t="s">
        <v>26</v>
      </c>
    </row>
    <row r="554" spans="1:9" s="8" customFormat="1" ht="18" customHeight="1" outlineLevel="1" x14ac:dyDescent="0.2">
      <c r="A554" s="9" t="s">
        <v>740</v>
      </c>
      <c r="B554" s="9" t="s">
        <v>28</v>
      </c>
      <c r="C554" s="9" t="s">
        <v>741</v>
      </c>
      <c r="D554" s="997" t="str">
        <f>HYPERLINK("https://cloud.mail.ru/public/bTtJ/HUAtePGob","Ссылка")</f>
        <v>Ссылка</v>
      </c>
      <c r="E554" s="1000" t="str">
        <f>HYPERLINK("https://adv-map.ru/place/?LINK=197e0c29ada5af2781c871352f7e4fd0","Ссылка")</f>
        <v>Ссылка</v>
      </c>
      <c r="F554" s="9" t="s">
        <v>742</v>
      </c>
      <c r="G554" s="10" t="s">
        <v>51</v>
      </c>
      <c r="H554" s="11">
        <v>29000</v>
      </c>
      <c r="I554" s="12"/>
    </row>
    <row r="555" spans="1:9" s="8" customFormat="1" ht="18" customHeight="1" outlineLevel="1" x14ac:dyDescent="0.2">
      <c r="A555" s="9" t="s">
        <v>740</v>
      </c>
      <c r="B555" s="9" t="s">
        <v>17</v>
      </c>
      <c r="C555" s="9" t="s">
        <v>741</v>
      </c>
      <c r="D555" s="1001" t="str">
        <f>HYPERLINK("https://cloud.mail.ru/public/96QX/Ka8cXsaHu","Ссылка")</f>
        <v>Ссылка</v>
      </c>
      <c r="E555" s="1002" t="str">
        <f>HYPERLINK("https://adv-map.ru/place/?LINK=b113ffc1d965002bbde7c9931c31a9a7","Ссылка")</f>
        <v>Ссылка</v>
      </c>
      <c r="F555" s="9" t="s">
        <v>742</v>
      </c>
      <c r="G555" s="10" t="s">
        <v>16</v>
      </c>
      <c r="H555" s="11">
        <v>27000</v>
      </c>
      <c r="I555" s="12"/>
    </row>
    <row r="556" spans="1:9" s="8" customFormat="1" ht="18" customHeight="1" outlineLevel="1" x14ac:dyDescent="0.2">
      <c r="A556" s="9" t="s">
        <v>743</v>
      </c>
      <c r="B556" s="9" t="s">
        <v>13</v>
      </c>
      <c r="C556" s="9" t="s">
        <v>744</v>
      </c>
      <c r="D556" s="1003" t="str">
        <f>HYPERLINK("https://cloud.mail.ru/public/9UJo/Wu3mhAidq","Ссылка")</f>
        <v>Ссылка</v>
      </c>
      <c r="E556" s="1004" t="str">
        <f>HYPERLINK("https://adv-map.ru/place/?LINK=62403608209d09bde75f53231a913909","Ссылка")</f>
        <v>Ссылка</v>
      </c>
      <c r="F556" s="9" t="s">
        <v>745</v>
      </c>
      <c r="G556" s="10" t="s">
        <v>16</v>
      </c>
      <c r="H556" s="11">
        <v>27000</v>
      </c>
      <c r="I556" s="12"/>
    </row>
    <row r="557" spans="1:9" s="8" customFormat="1" ht="18" customHeight="1" outlineLevel="1" x14ac:dyDescent="0.2">
      <c r="A557" s="9" t="s">
        <v>743</v>
      </c>
      <c r="B557" s="9" t="s">
        <v>17</v>
      </c>
      <c r="C557" s="9" t="s">
        <v>744</v>
      </c>
      <c r="D557" s="1005" t="str">
        <f>HYPERLINK("https://cloud.mail.ru/public/2MpS/dHxKy12QB","Ссылка")</f>
        <v>Ссылка</v>
      </c>
      <c r="E557" s="1006" t="str">
        <f>HYPERLINK("https://adv-map.ru/place/?LINK=fb9231e7b816182289c08ae9abe7840c","Ссылка")</f>
        <v>Ссылка</v>
      </c>
      <c r="F557" s="9" t="s">
        <v>745</v>
      </c>
      <c r="G557" s="10" t="s">
        <v>16</v>
      </c>
      <c r="H557" s="11">
        <v>29000</v>
      </c>
      <c r="I557" s="13" t="s">
        <v>26</v>
      </c>
    </row>
    <row r="558" spans="1:9" s="8" customFormat="1" ht="18" customHeight="1" outlineLevel="1" x14ac:dyDescent="0.2">
      <c r="A558" s="9" t="s">
        <v>746</v>
      </c>
      <c r="B558" s="9" t="s">
        <v>17</v>
      </c>
      <c r="C558" s="9" t="s">
        <v>747</v>
      </c>
      <c r="D558" s="1007" t="str">
        <f>HYPERLINK("https://cloud.mail.ru/public/spmg/uvRGQuNNY","Ссылка")</f>
        <v>Ссылка</v>
      </c>
      <c r="E558" s="1008" t="str">
        <f>HYPERLINK("https://adv-map.ru/place/?LINK=776d94abfd7fa16122b8d3e8be930382","Ссылка")</f>
        <v>Ссылка</v>
      </c>
      <c r="F558" s="9" t="s">
        <v>748</v>
      </c>
      <c r="G558" s="10" t="s">
        <v>16</v>
      </c>
      <c r="H558" s="11">
        <v>35000</v>
      </c>
      <c r="I558" s="13" t="s">
        <v>86</v>
      </c>
    </row>
    <row r="559" spans="1:9" s="8" customFormat="1" ht="18" customHeight="1" outlineLevel="1" x14ac:dyDescent="0.2">
      <c r="A559" s="9" t="s">
        <v>749</v>
      </c>
      <c r="B559" s="9" t="s">
        <v>13</v>
      </c>
      <c r="C559" s="9" t="s">
        <v>750</v>
      </c>
      <c r="D559" s="1009" t="str">
        <f>HYPERLINK("https://cloud.mail.ru/public/PzED/TRzAhKMZS","Ссылка")</f>
        <v>Ссылка</v>
      </c>
      <c r="E559" s="1010" t="str">
        <f>HYPERLINK("https://adv-map.ru/place/?LINK=ec6070cd8542dce00c9d48f838d1bc28","Ссылка")</f>
        <v>Ссылка</v>
      </c>
      <c r="F559" s="9" t="s">
        <v>751</v>
      </c>
      <c r="G559" s="10" t="s">
        <v>16</v>
      </c>
      <c r="H559" s="11">
        <v>31000</v>
      </c>
      <c r="I559" s="12"/>
    </row>
    <row r="560" spans="1:9" s="8" customFormat="1" ht="18" customHeight="1" outlineLevel="1" x14ac:dyDescent="0.2">
      <c r="A560" s="9" t="s">
        <v>749</v>
      </c>
      <c r="B560" s="9" t="s">
        <v>17</v>
      </c>
      <c r="C560" s="9" t="s">
        <v>750</v>
      </c>
      <c r="D560" s="1011" t="str">
        <f>HYPERLINK("https://cloud.mail.ru/public/XNbW/QLBN8Q7Rg","Ссылка")</f>
        <v>Ссылка</v>
      </c>
      <c r="E560" s="1012" t="str">
        <f>HYPERLINK("https://adv-map.ru/place/?LINK=6b2a5240502d9e1a836c6a213c0aa6da","Ссылка")</f>
        <v>Ссылка</v>
      </c>
      <c r="F560" s="9" t="s">
        <v>751</v>
      </c>
      <c r="G560" s="10" t="s">
        <v>16</v>
      </c>
      <c r="H560" s="11">
        <v>27000</v>
      </c>
      <c r="I560" s="12"/>
    </row>
    <row r="561" spans="1:9" s="8" customFormat="1" ht="18" customHeight="1" outlineLevel="1" x14ac:dyDescent="0.2">
      <c r="A561" s="9" t="s">
        <v>752</v>
      </c>
      <c r="B561" s="9" t="s">
        <v>13</v>
      </c>
      <c r="C561" s="9" t="s">
        <v>109</v>
      </c>
      <c r="D561" s="1013" t="str">
        <f>HYPERLINK("https://cloud.mail.ru/public/1Ymo/oVMcniStR","Ссылка")</f>
        <v>Ссылка</v>
      </c>
      <c r="E561" s="1014" t="str">
        <f>HYPERLINK("https://adv-map.ru/place/?LINK=1e3909aba80492cd791f13849d182db0","Ссылка")</f>
        <v>Ссылка</v>
      </c>
      <c r="F561" s="9" t="s">
        <v>753</v>
      </c>
      <c r="G561" s="10" t="s">
        <v>16</v>
      </c>
      <c r="H561" s="11">
        <v>33000</v>
      </c>
      <c r="I561" s="13" t="s">
        <v>86</v>
      </c>
    </row>
    <row r="562" spans="1:9" s="8" customFormat="1" ht="18" customHeight="1" outlineLevel="1" x14ac:dyDescent="0.2">
      <c r="A562" s="9" t="s">
        <v>752</v>
      </c>
      <c r="B562" s="9" t="s">
        <v>17</v>
      </c>
      <c r="C562" s="9" t="s">
        <v>109</v>
      </c>
      <c r="D562" s="1015" t="str">
        <f>HYPERLINK("https://cloud.mail.ru/public/YNGE/RV4TJXE55","Ссылка")</f>
        <v>Ссылка</v>
      </c>
      <c r="E562" s="1016" t="str">
        <f>HYPERLINK("https://adv-map.ru/place/?LINK=f14d9a94158f6a3f393b7d211fde983e","Ссылка")</f>
        <v>Ссылка</v>
      </c>
      <c r="F562" s="9" t="s">
        <v>753</v>
      </c>
      <c r="G562" s="10" t="s">
        <v>16</v>
      </c>
      <c r="H562" s="11">
        <v>33000</v>
      </c>
      <c r="I562" s="13" t="s">
        <v>86</v>
      </c>
    </row>
    <row r="563" spans="1:9" s="8" customFormat="1" ht="18" customHeight="1" outlineLevel="1" x14ac:dyDescent="0.2">
      <c r="A563" s="9" t="s">
        <v>754</v>
      </c>
      <c r="B563" s="9" t="s">
        <v>13</v>
      </c>
      <c r="C563" s="9" t="s">
        <v>755</v>
      </c>
      <c r="D563" s="1017" t="str">
        <f>HYPERLINK("https://cloud.mail.ru/public/Vg8j/ksuFuPnec","Ссылка")</f>
        <v>Ссылка</v>
      </c>
      <c r="E563" s="1018" t="str">
        <f>HYPERLINK("https://adv-map.ru/place/?LINK=b050c830331fee201ce358a7aa888c02","Ссылка")</f>
        <v>Ссылка</v>
      </c>
      <c r="F563" s="9" t="s">
        <v>756</v>
      </c>
      <c r="G563" s="10" t="s">
        <v>16</v>
      </c>
      <c r="H563" s="11">
        <v>31000</v>
      </c>
      <c r="I563" s="13" t="s">
        <v>26</v>
      </c>
    </row>
    <row r="564" spans="1:9" s="8" customFormat="1" ht="18" customHeight="1" outlineLevel="1" x14ac:dyDescent="0.2">
      <c r="A564" s="9" t="s">
        <v>754</v>
      </c>
      <c r="B564" s="9" t="s">
        <v>17</v>
      </c>
      <c r="C564" s="9" t="s">
        <v>755</v>
      </c>
      <c r="D564" s="1019" t="str">
        <f>HYPERLINK("https://cloud.mail.ru/public/wuwr/r17wbiu9Y","Ссылка")</f>
        <v>Ссылка</v>
      </c>
      <c r="E564" s="1020" t="str">
        <f>HYPERLINK("https://adv-map.ru/place/?LINK=0368fcf4d803c6acc342e35918a201a0","Ссылка")</f>
        <v>Ссылка</v>
      </c>
      <c r="F564" s="9" t="s">
        <v>756</v>
      </c>
      <c r="G564" s="10" t="s">
        <v>16</v>
      </c>
      <c r="H564" s="11">
        <v>29000</v>
      </c>
      <c r="I564" s="12"/>
    </row>
    <row r="565" spans="1:9" s="8" customFormat="1" ht="18" customHeight="1" outlineLevel="1" x14ac:dyDescent="0.2">
      <c r="A565" s="9" t="s">
        <v>757</v>
      </c>
      <c r="B565" s="9" t="s">
        <v>17</v>
      </c>
      <c r="C565" s="9" t="s">
        <v>758</v>
      </c>
      <c r="D565" s="1021" t="str">
        <f>HYPERLINK("https://cloud.mail.ru/public/6aXr/2ZMpDPZ5Q","Ссылка")</f>
        <v>Ссылка</v>
      </c>
      <c r="E565" s="1022" t="str">
        <f>HYPERLINK("https://adv-map.ru/place/?LINK=d9cf36e8824efe08ff65cd116870faee","Ссылка")</f>
        <v>Ссылка</v>
      </c>
      <c r="F565" s="9" t="s">
        <v>759</v>
      </c>
      <c r="G565" s="10" t="s">
        <v>16</v>
      </c>
      <c r="H565" s="11">
        <v>25000</v>
      </c>
      <c r="I565" s="12"/>
    </row>
    <row r="566" spans="1:9" s="8" customFormat="1" ht="18" customHeight="1" outlineLevel="1" x14ac:dyDescent="0.2">
      <c r="A566" s="9" t="s">
        <v>760</v>
      </c>
      <c r="B566" s="9" t="s">
        <v>13</v>
      </c>
      <c r="C566" s="9" t="s">
        <v>761</v>
      </c>
      <c r="D566" s="1023" t="str">
        <f>HYPERLINK("https://cloud.mail.ru/public/JSqd/tCcAKg6jc","Ссылка")</f>
        <v>Ссылка</v>
      </c>
      <c r="E566" s="1024" t="str">
        <f>HYPERLINK("https://adv-map.ru/place/?LINK=307af0e30764b75caaa7f2f41b920a64","Ссылка")</f>
        <v>Ссылка</v>
      </c>
      <c r="F566" s="9" t="s">
        <v>762</v>
      </c>
      <c r="G566" s="10" t="s">
        <v>16</v>
      </c>
      <c r="H566" s="11">
        <v>31000</v>
      </c>
      <c r="I566" s="13" t="s">
        <v>26</v>
      </c>
    </row>
    <row r="567" spans="1:9" s="8" customFormat="1" ht="18" customHeight="1" outlineLevel="1" x14ac:dyDescent="0.2">
      <c r="A567" s="9" t="s">
        <v>760</v>
      </c>
      <c r="B567" s="9" t="s">
        <v>17</v>
      </c>
      <c r="C567" s="9" t="s">
        <v>761</v>
      </c>
      <c r="D567" s="1025" t="str">
        <f>HYPERLINK("https://cloud.mail.ru/public/MXBr/SZVi4oAEK","Ссылка")</f>
        <v>Ссылка</v>
      </c>
      <c r="E567" s="1026" t="str">
        <f>HYPERLINK("https://adv-map.ru/place/?LINK=66173c5db2d19ae6c09da01639e00e14","Ссылка")</f>
        <v>Ссылка</v>
      </c>
      <c r="F567" s="9" t="s">
        <v>762</v>
      </c>
      <c r="G567" s="10" t="s">
        <v>16</v>
      </c>
      <c r="H567" s="11">
        <v>25000</v>
      </c>
      <c r="I567" s="12"/>
    </row>
    <row r="568" spans="1:9" s="8" customFormat="1" ht="18" customHeight="1" outlineLevel="1" x14ac:dyDescent="0.2">
      <c r="A568" s="9" t="s">
        <v>763</v>
      </c>
      <c r="B568" s="9" t="s">
        <v>13</v>
      </c>
      <c r="C568" s="9" t="s">
        <v>764</v>
      </c>
      <c r="D568" s="1027" t="str">
        <f>HYPERLINK("https://cloud.mail.ru/public/AXCb/Z1dBsVMxi","Ссылка")</f>
        <v>Ссылка</v>
      </c>
      <c r="E568" s="1028" t="str">
        <f>HYPERLINK("https://adv-map.ru/place/?LINK=fc5acb0e9b828c7da22fc3aa16f6d5e9","Ссылка")</f>
        <v>Ссылка</v>
      </c>
      <c r="F568" s="9" t="s">
        <v>765</v>
      </c>
      <c r="G568" s="10" t="s">
        <v>16</v>
      </c>
      <c r="H568" s="11">
        <v>29000</v>
      </c>
      <c r="I568" s="12"/>
    </row>
    <row r="569" spans="1:9" s="8" customFormat="1" ht="18" customHeight="1" outlineLevel="1" x14ac:dyDescent="0.2">
      <c r="A569" s="9" t="s">
        <v>763</v>
      </c>
      <c r="B569" s="9" t="s">
        <v>17</v>
      </c>
      <c r="C569" s="9" t="s">
        <v>764</v>
      </c>
      <c r="D569" s="1029" t="str">
        <f>HYPERLINK("https://cloud.mail.ru/public/jPZU/PQasJpZ7q","Ссылка")</f>
        <v>Ссылка</v>
      </c>
      <c r="E569" s="1030" t="str">
        <f>HYPERLINK("https://adv-map.ru/place/?LINK=5568cdfd1ca1f679b20c73682c808ff6","Ссылка")</f>
        <v>Ссылка</v>
      </c>
      <c r="F569" s="9" t="s">
        <v>765</v>
      </c>
      <c r="G569" s="10" t="s">
        <v>16</v>
      </c>
      <c r="H569" s="11">
        <v>21000</v>
      </c>
      <c r="I569" s="12"/>
    </row>
    <row r="570" spans="1:9" s="8" customFormat="1" ht="18" customHeight="1" outlineLevel="1" x14ac:dyDescent="0.2">
      <c r="A570" s="9" t="s">
        <v>766</v>
      </c>
      <c r="B570" s="9" t="s">
        <v>13</v>
      </c>
      <c r="C570" s="9" t="s">
        <v>657</v>
      </c>
      <c r="D570" s="1031" t="str">
        <f>HYPERLINK("https://cloud.mail.ru/public/7tVb/qk5btBhvj","Ссылка")</f>
        <v>Ссылка</v>
      </c>
      <c r="E570" s="1032" t="str">
        <f>HYPERLINK("https://adv-map.ru/place/?LINK=8c8706a57bbe57b6c8c8dd51cd9edec9","Ссылка")</f>
        <v>Ссылка</v>
      </c>
      <c r="F570" s="9" t="s">
        <v>767</v>
      </c>
      <c r="G570" s="10" t="s">
        <v>16</v>
      </c>
      <c r="H570" s="11">
        <v>31000</v>
      </c>
      <c r="I570" s="12"/>
    </row>
    <row r="571" spans="1:9" s="8" customFormat="1" ht="18" customHeight="1" outlineLevel="1" x14ac:dyDescent="0.2">
      <c r="A571" s="9" t="s">
        <v>766</v>
      </c>
      <c r="B571" s="9" t="s">
        <v>17</v>
      </c>
      <c r="C571" s="9" t="s">
        <v>657</v>
      </c>
      <c r="D571" s="1033" t="str">
        <f>HYPERLINK("https://cloud.mail.ru/public/k2yJ/TQWQJc4d2","Ссылка")</f>
        <v>Ссылка</v>
      </c>
      <c r="E571" s="1034" t="str">
        <f>HYPERLINK("https://adv-map.ru/place/?LINK=f443c8e33c01fab8db8e77e6e05f49f8","Ссылка")</f>
        <v>Ссылка</v>
      </c>
      <c r="F571" s="9" t="s">
        <v>767</v>
      </c>
      <c r="G571" s="10" t="s">
        <v>16</v>
      </c>
      <c r="H571" s="11">
        <v>27000</v>
      </c>
      <c r="I571" s="12"/>
    </row>
    <row r="572" spans="1:9" s="8" customFormat="1" ht="18" customHeight="1" outlineLevel="1" x14ac:dyDescent="0.2">
      <c r="A572" s="9" t="s">
        <v>768</v>
      </c>
      <c r="B572" s="9" t="s">
        <v>13</v>
      </c>
      <c r="C572" s="9" t="s">
        <v>769</v>
      </c>
      <c r="D572" s="1035" t="str">
        <f>HYPERLINK("https://cloud.mail.ru/public/7GxT/ePc9HBkKS","Ссылка")</f>
        <v>Ссылка</v>
      </c>
      <c r="E572" s="1036" t="str">
        <f>HYPERLINK("https://adv-map.ru/place/?LINK=a46fc0a01a7a1dc8bf3a978dc0f99cd0","Ссылка")</f>
        <v>Ссылка</v>
      </c>
      <c r="F572" s="9" t="s">
        <v>770</v>
      </c>
      <c r="G572" s="10" t="s">
        <v>16</v>
      </c>
      <c r="H572" s="11">
        <v>29000</v>
      </c>
      <c r="I572" s="12"/>
    </row>
    <row r="573" spans="1:9" s="8" customFormat="1" ht="18" customHeight="1" outlineLevel="1" x14ac:dyDescent="0.2">
      <c r="A573" s="9" t="s">
        <v>768</v>
      </c>
      <c r="B573" s="9" t="s">
        <v>17</v>
      </c>
      <c r="C573" s="9" t="s">
        <v>769</v>
      </c>
      <c r="D573" s="1037" t="str">
        <f>HYPERLINK("https://cloud.mail.ru/public/pCu9/UAjU645AK","Ссылка")</f>
        <v>Ссылка</v>
      </c>
      <c r="E573" s="1038" t="str">
        <f>HYPERLINK("https://adv-map.ru/place/?LINK=2666ce38ee0f67c6894218a4a7e78dd1","Ссылка")</f>
        <v>Ссылка</v>
      </c>
      <c r="F573" s="9" t="s">
        <v>770</v>
      </c>
      <c r="G573" s="10" t="s">
        <v>16</v>
      </c>
      <c r="H573" s="11">
        <v>29000</v>
      </c>
      <c r="I573" s="12"/>
    </row>
    <row r="574" spans="1:9" s="8" customFormat="1" ht="18" customHeight="1" outlineLevel="1" x14ac:dyDescent="0.2">
      <c r="A574" s="9" t="s">
        <v>771</v>
      </c>
      <c r="B574" s="9" t="s">
        <v>13</v>
      </c>
      <c r="C574" s="9" t="s">
        <v>772</v>
      </c>
      <c r="D574" s="1039" t="str">
        <f>HYPERLINK("https://cloud.mail.ru/public/Nz1w/9YQzqBFrP","Ссылка")</f>
        <v>Ссылка</v>
      </c>
      <c r="E574" s="1040" t="str">
        <f>HYPERLINK("https://adv-map.ru/place/?LINK=615fd9430f43a4398d5d107f95e2e89a","Ссылка")</f>
        <v>Ссылка</v>
      </c>
      <c r="F574" s="9" t="s">
        <v>773</v>
      </c>
      <c r="G574" s="10" t="s">
        <v>16</v>
      </c>
      <c r="H574" s="11">
        <v>31000</v>
      </c>
      <c r="I574" s="13" t="s">
        <v>26</v>
      </c>
    </row>
    <row r="575" spans="1:9" s="8" customFormat="1" ht="18" customHeight="1" outlineLevel="1" x14ac:dyDescent="0.2">
      <c r="A575" s="9" t="s">
        <v>771</v>
      </c>
      <c r="B575" s="9" t="s">
        <v>17</v>
      </c>
      <c r="C575" s="9" t="s">
        <v>772</v>
      </c>
      <c r="D575" s="1041" t="str">
        <f>HYPERLINK("https://cloud.mail.ru/public/NnMR/2hThXVReu","Ссылка")</f>
        <v>Ссылка</v>
      </c>
      <c r="E575" s="1042" t="str">
        <f>HYPERLINK("https://adv-map.ru/place/?LINK=1cb8147bae3bd2c539f61a88648cd3ad","Ссылка")</f>
        <v>Ссылка</v>
      </c>
      <c r="F575" s="9" t="s">
        <v>773</v>
      </c>
      <c r="G575" s="10" t="s">
        <v>16</v>
      </c>
      <c r="H575" s="11">
        <v>31000</v>
      </c>
      <c r="I575" s="12"/>
    </row>
    <row r="576" spans="1:9" s="8" customFormat="1" ht="18" customHeight="1" outlineLevel="1" x14ac:dyDescent="0.2">
      <c r="A576" s="9" t="s">
        <v>774</v>
      </c>
      <c r="B576" s="9" t="s">
        <v>17</v>
      </c>
      <c r="C576" s="9" t="s">
        <v>775</v>
      </c>
      <c r="D576" s="1043" t="str">
        <f>HYPERLINK("https://cloud.mail.ru/public/1Gqv/FqBFvfZoL","Ссылка")</f>
        <v>Ссылка</v>
      </c>
      <c r="E576" s="1044" t="str">
        <f>HYPERLINK("https://adv-map.ru/place/?LINK=e2c46a9af388359f011a08a854dd1e47","Ссылка")</f>
        <v>Ссылка</v>
      </c>
      <c r="F576" s="9" t="s">
        <v>776</v>
      </c>
      <c r="G576" s="10" t="s">
        <v>16</v>
      </c>
      <c r="H576" s="11">
        <v>33000</v>
      </c>
      <c r="I576" s="13" t="s">
        <v>26</v>
      </c>
    </row>
    <row r="577" spans="1:9" s="8" customFormat="1" ht="18" customHeight="1" outlineLevel="1" x14ac:dyDescent="0.2">
      <c r="A577" s="9" t="s">
        <v>777</v>
      </c>
      <c r="B577" s="9" t="s">
        <v>13</v>
      </c>
      <c r="C577" s="9" t="s">
        <v>778</v>
      </c>
      <c r="D577" s="1045" t="str">
        <f>HYPERLINK("https://cloud.mail.ru/public/21Yv/hwecYk6ub","Ссылка")</f>
        <v>Ссылка</v>
      </c>
      <c r="E577" s="1046" t="str">
        <f>HYPERLINK("https://adv-map.ru/place/?LINK=604836123384c60639b32eb2d31dbc74","Ссылка")</f>
        <v>Ссылка</v>
      </c>
      <c r="F577" s="9" t="s">
        <v>779</v>
      </c>
      <c r="G577" s="10" t="s">
        <v>16</v>
      </c>
      <c r="H577" s="11">
        <v>31000</v>
      </c>
      <c r="I577" s="13" t="s">
        <v>26</v>
      </c>
    </row>
    <row r="578" spans="1:9" s="8" customFormat="1" ht="18" customHeight="1" outlineLevel="1" x14ac:dyDescent="0.2">
      <c r="A578" s="9" t="s">
        <v>777</v>
      </c>
      <c r="B578" s="9" t="s">
        <v>17</v>
      </c>
      <c r="C578" s="9" t="s">
        <v>778</v>
      </c>
      <c r="D578" s="1047" t="str">
        <f>HYPERLINK("https://cloud.mail.ru/public/y9fp/VpoGaHCQF","Ссылка")</f>
        <v>Ссылка</v>
      </c>
      <c r="E578" s="1048" t="str">
        <f>HYPERLINK("https://adv-map.ru/place/?LINK=74f61b8332e5114b6b7b005fa47d1da8","Ссылка")</f>
        <v>Ссылка</v>
      </c>
      <c r="F578" s="9" t="s">
        <v>779</v>
      </c>
      <c r="G578" s="10" t="s">
        <v>16</v>
      </c>
      <c r="H578" s="11">
        <v>29000</v>
      </c>
      <c r="I578" s="12"/>
    </row>
    <row r="579" spans="1:9" s="8" customFormat="1" ht="18" customHeight="1" outlineLevel="1" x14ac:dyDescent="0.2">
      <c r="A579" s="9" t="s">
        <v>780</v>
      </c>
      <c r="B579" s="9" t="s">
        <v>13</v>
      </c>
      <c r="C579" s="9" t="s">
        <v>781</v>
      </c>
      <c r="D579" s="1049" t="str">
        <f>HYPERLINK("https://cloud.mail.ru/public/AQX7/eewigzywN","Ссылка")</f>
        <v>Ссылка</v>
      </c>
      <c r="E579" s="1050" t="str">
        <f>HYPERLINK("https://adv-map.ru/place/?LINK=ed1ea9dd86a3d6e85997cd6c90bfed26","Ссылка")</f>
        <v>Ссылка</v>
      </c>
      <c r="F579" s="9" t="s">
        <v>782</v>
      </c>
      <c r="G579" s="10" t="s">
        <v>16</v>
      </c>
      <c r="H579" s="11">
        <v>29000</v>
      </c>
      <c r="I579" s="12"/>
    </row>
    <row r="580" spans="1:9" s="8" customFormat="1" ht="18" customHeight="1" outlineLevel="1" x14ac:dyDescent="0.2">
      <c r="A580" s="9" t="s">
        <v>780</v>
      </c>
      <c r="B580" s="9" t="s">
        <v>22</v>
      </c>
      <c r="C580" s="9" t="s">
        <v>781</v>
      </c>
      <c r="D580" s="1051" t="str">
        <f>HYPERLINK("https://cloud.mail.ru/public/eRAw/2snswvS7p","Ссылка")</f>
        <v>Ссылка</v>
      </c>
      <c r="E580" s="1052" t="str">
        <f>HYPERLINK("https://adv-map.ru/place/?LINK=c5e9f466a9d1798bb2a77f9ab22adfa8","Ссылка")</f>
        <v>Ссылка</v>
      </c>
      <c r="F580" s="9" t="s">
        <v>782</v>
      </c>
      <c r="G580" s="10" t="s">
        <v>51</v>
      </c>
      <c r="H580" s="11">
        <v>27500</v>
      </c>
      <c r="I580" s="13" t="s">
        <v>26</v>
      </c>
    </row>
    <row r="581" spans="1:9" s="8" customFormat="1" ht="18" customHeight="1" outlineLevel="1" x14ac:dyDescent="0.2">
      <c r="A581" s="9" t="s">
        <v>780</v>
      </c>
      <c r="B581" s="9" t="s">
        <v>27</v>
      </c>
      <c r="C581" s="9" t="s">
        <v>781</v>
      </c>
      <c r="D581" s="1051" t="str">
        <f>HYPERLINK("https://cloud.mail.ru/public/eRAw/2snswvS7p","Ссылка")</f>
        <v>Ссылка</v>
      </c>
      <c r="E581" s="1053" t="str">
        <f>HYPERLINK("https://adv-map.ru/place/?LINK=07e3d830d07dd86f090b566879b592e4","Ссылка")</f>
        <v>Ссылка</v>
      </c>
      <c r="F581" s="9" t="s">
        <v>782</v>
      </c>
      <c r="G581" s="10" t="s">
        <v>51</v>
      </c>
      <c r="H581" s="11">
        <v>27500</v>
      </c>
      <c r="I581" s="12"/>
    </row>
    <row r="582" spans="1:9" s="8" customFormat="1" ht="18" customHeight="1" outlineLevel="1" x14ac:dyDescent="0.2">
      <c r="A582" s="9" t="s">
        <v>780</v>
      </c>
      <c r="B582" s="9" t="s">
        <v>28</v>
      </c>
      <c r="C582" s="9" t="s">
        <v>781</v>
      </c>
      <c r="D582" s="1051" t="str">
        <f>HYPERLINK("https://cloud.mail.ru/public/eRAw/2snswvS7p","Ссылка")</f>
        <v>Ссылка</v>
      </c>
      <c r="E582" s="1054" t="str">
        <f>HYPERLINK("https://adv-map.ru/place/?LINK=2e3d44077910a5d6bb6c149c4fffb56a","Ссылка")</f>
        <v>Ссылка</v>
      </c>
      <c r="F582" s="9" t="s">
        <v>782</v>
      </c>
      <c r="G582" s="10" t="s">
        <v>51</v>
      </c>
      <c r="H582" s="11">
        <v>27500</v>
      </c>
      <c r="I582" s="12"/>
    </row>
    <row r="583" spans="1:9" s="8" customFormat="1" ht="18" customHeight="1" outlineLevel="1" x14ac:dyDescent="0.2">
      <c r="A583" s="9" t="s">
        <v>780</v>
      </c>
      <c r="B583" s="9" t="s">
        <v>17</v>
      </c>
      <c r="C583" s="9" t="s">
        <v>781</v>
      </c>
      <c r="D583" s="1055" t="str">
        <f>HYPERLINK("https://cloud.mail.ru/public/p8oA/UFM6Kvu1R","Ссылка")</f>
        <v>Ссылка</v>
      </c>
      <c r="E583" s="1056" t="str">
        <f>HYPERLINK("https://adv-map.ru/place/?LINK=e0ac6105d91244fd35b8079383d14986","Ссылка")</f>
        <v>Ссылка</v>
      </c>
      <c r="F583" s="9" t="s">
        <v>782</v>
      </c>
      <c r="G583" s="10" t="s">
        <v>16</v>
      </c>
      <c r="H583" s="11">
        <v>25000</v>
      </c>
      <c r="I583" s="12"/>
    </row>
    <row r="584" spans="1:9" s="8" customFormat="1" ht="18" customHeight="1" outlineLevel="1" x14ac:dyDescent="0.2">
      <c r="A584" s="9" t="s">
        <v>783</v>
      </c>
      <c r="B584" s="9" t="s">
        <v>22</v>
      </c>
      <c r="C584" s="9" t="s">
        <v>784</v>
      </c>
      <c r="D584" s="1057" t="str">
        <f>HYPERLINK("https://cloud.mail.ru/public/KCkT/KAZmWJGC9","Ссылка")</f>
        <v>Ссылка</v>
      </c>
      <c r="E584" s="1058" t="str">
        <f>HYPERLINK("https://adv-map.ru/place/?LINK=c3d163f9a3298f934e7659554f039276","Ссылка")</f>
        <v>Ссылка</v>
      </c>
      <c r="F584" s="9" t="s">
        <v>452</v>
      </c>
      <c r="G584" s="10" t="s">
        <v>51</v>
      </c>
      <c r="H584" s="11">
        <v>31000</v>
      </c>
      <c r="I584" s="13" t="s">
        <v>26</v>
      </c>
    </row>
    <row r="585" spans="1:9" s="8" customFormat="1" ht="18" customHeight="1" outlineLevel="1" x14ac:dyDescent="0.2">
      <c r="A585" s="9" t="s">
        <v>783</v>
      </c>
      <c r="B585" s="9" t="s">
        <v>27</v>
      </c>
      <c r="C585" s="9" t="s">
        <v>784</v>
      </c>
      <c r="D585" s="1057" t="str">
        <f>HYPERLINK("https://cloud.mail.ru/public/KCkT/KAZmWJGC9","Ссылка")</f>
        <v>Ссылка</v>
      </c>
      <c r="E585" s="1059" t="str">
        <f>HYPERLINK("https://adv-map.ru/place/?LINK=afb06773904d61e694460a5572f564e1","Ссылка")</f>
        <v>Ссылка</v>
      </c>
      <c r="F585" s="9" t="s">
        <v>452</v>
      </c>
      <c r="G585" s="10" t="s">
        <v>51</v>
      </c>
      <c r="H585" s="11">
        <v>31000</v>
      </c>
      <c r="I585" s="12"/>
    </row>
    <row r="586" spans="1:9" s="8" customFormat="1" ht="18" customHeight="1" outlineLevel="1" x14ac:dyDescent="0.2">
      <c r="A586" s="9" t="s">
        <v>783</v>
      </c>
      <c r="B586" s="9" t="s">
        <v>28</v>
      </c>
      <c r="C586" s="9" t="s">
        <v>784</v>
      </c>
      <c r="D586" s="1057" t="str">
        <f>HYPERLINK("https://cloud.mail.ru/public/KCkT/KAZmWJGC9","Ссылка")</f>
        <v>Ссылка</v>
      </c>
      <c r="E586" s="1060" t="str">
        <f>HYPERLINK("https://adv-map.ru/place/?LINK=92800fe880b3e22fa70b8c7a34c71b3f","Ссылка")</f>
        <v>Ссылка</v>
      </c>
      <c r="F586" s="9" t="s">
        <v>452</v>
      </c>
      <c r="G586" s="10" t="s">
        <v>51</v>
      </c>
      <c r="H586" s="11">
        <v>31000</v>
      </c>
      <c r="I586" s="12"/>
    </row>
    <row r="587" spans="1:9" s="8" customFormat="1" ht="18" customHeight="1" outlineLevel="1" x14ac:dyDescent="0.2">
      <c r="A587" s="9" t="s">
        <v>783</v>
      </c>
      <c r="B587" s="9" t="s">
        <v>17</v>
      </c>
      <c r="C587" s="9" t="s">
        <v>785</v>
      </c>
      <c r="D587" s="1061" t="str">
        <f>HYPERLINK("https://cloud.mail.ru/public/RJEY/4Ya2LuJ9U","Ссылка")</f>
        <v>Ссылка</v>
      </c>
      <c r="E587" s="1062" t="str">
        <f>HYPERLINK("https://adv-map.ru/place/?LINK=87f175b123f24c81c079c4964f5fc352","Ссылка")</f>
        <v>Ссылка</v>
      </c>
      <c r="F587" s="9" t="s">
        <v>452</v>
      </c>
      <c r="G587" s="10" t="s">
        <v>16</v>
      </c>
      <c r="H587" s="11">
        <v>25000</v>
      </c>
      <c r="I587" s="13" t="s">
        <v>26</v>
      </c>
    </row>
    <row r="588" spans="1:9" s="8" customFormat="1" ht="18" customHeight="1" outlineLevel="1" x14ac:dyDescent="0.2">
      <c r="A588" s="9" t="s">
        <v>786</v>
      </c>
      <c r="B588" s="9" t="s">
        <v>13</v>
      </c>
      <c r="C588" s="9" t="s">
        <v>730</v>
      </c>
      <c r="D588" s="1063" t="str">
        <f>HYPERLINK("https://cloud.mail.ru/public/XjFN/MPEt4MGqV","Ссылка")</f>
        <v>Ссылка</v>
      </c>
      <c r="E588" s="1064" t="str">
        <f>HYPERLINK("https://adv-map.ru/place/?LINK=725be6ca7c5c58b3ac21fa09c41d1d4b","Ссылка")</f>
        <v>Ссылка</v>
      </c>
      <c r="F588" s="9" t="s">
        <v>787</v>
      </c>
      <c r="G588" s="10" t="s">
        <v>16</v>
      </c>
      <c r="H588" s="11">
        <v>29000</v>
      </c>
      <c r="I588" s="13" t="s">
        <v>788</v>
      </c>
    </row>
    <row r="589" spans="1:9" s="8" customFormat="1" ht="18" customHeight="1" outlineLevel="1" x14ac:dyDescent="0.2">
      <c r="A589" s="9" t="s">
        <v>786</v>
      </c>
      <c r="B589" s="9" t="s">
        <v>17</v>
      </c>
      <c r="C589" s="9" t="s">
        <v>730</v>
      </c>
      <c r="D589" s="1065" t="str">
        <f>HYPERLINK("https://cloud.mail.ru/public/1uG9/Mc6HdY6pV","Ссылка")</f>
        <v>Ссылка</v>
      </c>
      <c r="E589" s="1066" t="str">
        <f>HYPERLINK("https://adv-map.ru/place/?LINK=0d81be0669334315a442d53858d40565","Ссылка")</f>
        <v>Ссылка</v>
      </c>
      <c r="F589" s="9" t="s">
        <v>787</v>
      </c>
      <c r="G589" s="10" t="s">
        <v>16</v>
      </c>
      <c r="H589" s="11">
        <v>25000</v>
      </c>
      <c r="I589" s="12"/>
    </row>
    <row r="590" spans="1:9" s="8" customFormat="1" ht="18" customHeight="1" outlineLevel="1" x14ac:dyDescent="0.2">
      <c r="A590" s="9" t="s">
        <v>789</v>
      </c>
      <c r="B590" s="9" t="s">
        <v>13</v>
      </c>
      <c r="C590" s="9" t="s">
        <v>112</v>
      </c>
      <c r="D590" s="1067" t="str">
        <f>HYPERLINK("https://cloud.mail.ru/public/UpvM/NBgHHVwo8","Ссылка")</f>
        <v>Ссылка</v>
      </c>
      <c r="E590" s="1068" t="str">
        <f>HYPERLINK("https://adv-map.ru/place/?LINK=94c7435d8b182a7902598cbd3e2150b8","Ссылка")</f>
        <v>Ссылка</v>
      </c>
      <c r="F590" s="9" t="s">
        <v>790</v>
      </c>
      <c r="G590" s="10" t="s">
        <v>16</v>
      </c>
      <c r="H590" s="11">
        <v>33000</v>
      </c>
      <c r="I590" s="12"/>
    </row>
    <row r="591" spans="1:9" s="8" customFormat="1" ht="18" customHeight="1" outlineLevel="1" x14ac:dyDescent="0.2">
      <c r="A591" s="9" t="s">
        <v>789</v>
      </c>
      <c r="B591" s="9" t="s">
        <v>17</v>
      </c>
      <c r="C591" s="9" t="s">
        <v>112</v>
      </c>
      <c r="D591" s="1069" t="str">
        <f>HYPERLINK("https://cloud.mail.ru/public/W2MR/2yi89He4N","Ссылка")</f>
        <v>Ссылка</v>
      </c>
      <c r="E591" s="1070" t="str">
        <f>HYPERLINK("https://adv-map.ru/place/?LINK=1460e050ea6d3f2bfba0a2075e2600e8","Ссылка")</f>
        <v>Ссылка</v>
      </c>
      <c r="F591" s="9" t="s">
        <v>790</v>
      </c>
      <c r="G591" s="10" t="s">
        <v>16</v>
      </c>
      <c r="H591" s="11">
        <v>25000</v>
      </c>
      <c r="I591" s="13" t="s">
        <v>26</v>
      </c>
    </row>
    <row r="592" spans="1:9" s="8" customFormat="1" ht="18" customHeight="1" outlineLevel="1" x14ac:dyDescent="0.2">
      <c r="A592" s="9" t="s">
        <v>791</v>
      </c>
      <c r="B592" s="9" t="s">
        <v>13</v>
      </c>
      <c r="C592" s="9" t="s">
        <v>792</v>
      </c>
      <c r="D592" s="1071" t="str">
        <f>HYPERLINK("https://cloud.mail.ru/public/NMaa/BP294Mur5","Ссылка")</f>
        <v>Ссылка</v>
      </c>
      <c r="E592" s="1072" t="str">
        <f>HYPERLINK("https://adv-map.ru/place/?LINK=d288ee1d62303f1d5dbfea49f1fa8264","Ссылка")</f>
        <v>Ссылка</v>
      </c>
      <c r="F592" s="9" t="s">
        <v>793</v>
      </c>
      <c r="G592" s="10" t="s">
        <v>16</v>
      </c>
      <c r="H592" s="11">
        <v>31000</v>
      </c>
      <c r="I592" s="12"/>
    </row>
    <row r="593" spans="1:9" s="8" customFormat="1" ht="18" customHeight="1" outlineLevel="1" x14ac:dyDescent="0.2">
      <c r="A593" s="9" t="s">
        <v>791</v>
      </c>
      <c r="B593" s="9" t="s">
        <v>17</v>
      </c>
      <c r="C593" s="9" t="s">
        <v>792</v>
      </c>
      <c r="D593" s="1073" t="str">
        <f>HYPERLINK("https://cloud.mail.ru/public/YmQo/eusBKD6yq","Ссылка")</f>
        <v>Ссылка</v>
      </c>
      <c r="E593" s="1074" t="str">
        <f>HYPERLINK("https://adv-map.ru/place/?LINK=0a15adbc9e1545343afc0b14ab2f1a9a","Ссылка")</f>
        <v>Ссылка</v>
      </c>
      <c r="F593" s="9" t="s">
        <v>793</v>
      </c>
      <c r="G593" s="10" t="s">
        <v>16</v>
      </c>
      <c r="H593" s="11">
        <v>27000</v>
      </c>
      <c r="I593" s="13" t="s">
        <v>26</v>
      </c>
    </row>
    <row r="594" spans="1:9" s="8" customFormat="1" ht="18" customHeight="1" outlineLevel="1" x14ac:dyDescent="0.2">
      <c r="A594" s="9" t="s">
        <v>794</v>
      </c>
      <c r="B594" s="9" t="s">
        <v>13</v>
      </c>
      <c r="C594" s="9" t="s">
        <v>795</v>
      </c>
      <c r="D594" s="1075" t="str">
        <f>HYPERLINK("https://cloud.mail.ru/public/EWVN/jzAV3Szxt","Ссылка")</f>
        <v>Ссылка</v>
      </c>
      <c r="E594" s="1076" t="str">
        <f>HYPERLINK("https://adv-map.ru/place/?LINK=27ca31205a5090adb92ed42bfd09568c","Ссылка")</f>
        <v>Ссылка</v>
      </c>
      <c r="F594" s="9" t="s">
        <v>796</v>
      </c>
      <c r="G594" s="10" t="s">
        <v>16</v>
      </c>
      <c r="H594" s="11">
        <v>29000</v>
      </c>
      <c r="I594" s="13" t="s">
        <v>797</v>
      </c>
    </row>
    <row r="595" spans="1:9" s="8" customFormat="1" ht="18" customHeight="1" outlineLevel="1" x14ac:dyDescent="0.2">
      <c r="A595" s="9" t="s">
        <v>794</v>
      </c>
      <c r="B595" s="9" t="s">
        <v>17</v>
      </c>
      <c r="C595" s="9" t="s">
        <v>795</v>
      </c>
      <c r="D595" s="9"/>
      <c r="E595" s="1077" t="str">
        <f>HYPERLINK("https://adv-map.ru/place/?LINK=e50e00717b97f041aa11a89dfd312b7c","Ссылка")</f>
        <v>Ссылка</v>
      </c>
      <c r="F595" s="9" t="s">
        <v>796</v>
      </c>
      <c r="G595" s="10" t="s">
        <v>16</v>
      </c>
      <c r="H595" s="11">
        <v>25000</v>
      </c>
      <c r="I595" s="13" t="s">
        <v>26</v>
      </c>
    </row>
    <row r="596" spans="1:9" s="8" customFormat="1" ht="18" customHeight="1" outlineLevel="1" x14ac:dyDescent="0.2">
      <c r="A596" s="9" t="s">
        <v>798</v>
      </c>
      <c r="B596" s="9" t="s">
        <v>22</v>
      </c>
      <c r="C596" s="9" t="s">
        <v>799</v>
      </c>
      <c r="D596" s="1078" t="str">
        <f>HYPERLINK("https://cloud.mail.ru/public/3Rdp/vpLCkDCb9","Ссылка")</f>
        <v>Ссылка</v>
      </c>
      <c r="E596" s="1079" t="str">
        <f>HYPERLINK("https://adv-map.ru/place/?LINK=1967ea0bcf40e23e59eadc436b7f61af","Ссылка")</f>
        <v>Ссылка</v>
      </c>
      <c r="F596" s="9"/>
      <c r="G596" s="10" t="s">
        <v>25</v>
      </c>
      <c r="H596" s="11">
        <v>44000</v>
      </c>
      <c r="I596" s="13" t="s">
        <v>26</v>
      </c>
    </row>
    <row r="597" spans="1:9" s="8" customFormat="1" ht="18" customHeight="1" outlineLevel="1" x14ac:dyDescent="0.2">
      <c r="A597" s="9" t="s">
        <v>798</v>
      </c>
      <c r="B597" s="9" t="s">
        <v>27</v>
      </c>
      <c r="C597" s="9" t="s">
        <v>799</v>
      </c>
      <c r="D597" s="1078" t="str">
        <f>HYPERLINK("https://cloud.mail.ru/public/3Rdp/vpLCkDCb9","Ссылка")</f>
        <v>Ссылка</v>
      </c>
      <c r="E597" s="1080" t="str">
        <f>HYPERLINK("https://adv-map.ru/place/?LINK=609c0c8efc7c2f739fc012972380c4a5","Ссылка")</f>
        <v>Ссылка</v>
      </c>
      <c r="F597" s="9"/>
      <c r="G597" s="10" t="s">
        <v>25</v>
      </c>
      <c r="H597" s="11">
        <v>44000</v>
      </c>
      <c r="I597" s="13" t="s">
        <v>26</v>
      </c>
    </row>
    <row r="598" spans="1:9" s="8" customFormat="1" ht="18" customHeight="1" outlineLevel="1" x14ac:dyDescent="0.2">
      <c r="A598" s="9" t="s">
        <v>798</v>
      </c>
      <c r="B598" s="9" t="s">
        <v>28</v>
      </c>
      <c r="C598" s="9" t="s">
        <v>799</v>
      </c>
      <c r="D598" s="1078" t="str">
        <f>HYPERLINK("https://cloud.mail.ru/public/3Rdp/vpLCkDCb9","Ссылка")</f>
        <v>Ссылка</v>
      </c>
      <c r="E598" s="1081" t="str">
        <f>HYPERLINK("https://adv-map.ru/place/?LINK=b655df5f9eba3661ec86ea7bb30a1141","Ссылка")</f>
        <v>Ссылка</v>
      </c>
      <c r="F598" s="9"/>
      <c r="G598" s="10" t="s">
        <v>25</v>
      </c>
      <c r="H598" s="11">
        <v>44000</v>
      </c>
      <c r="I598" s="13" t="s">
        <v>26</v>
      </c>
    </row>
    <row r="599" spans="1:9" s="8" customFormat="1" ht="18" customHeight="1" outlineLevel="1" x14ac:dyDescent="0.2">
      <c r="A599" s="9" t="s">
        <v>800</v>
      </c>
      <c r="B599" s="9" t="s">
        <v>13</v>
      </c>
      <c r="C599" s="9" t="s">
        <v>801</v>
      </c>
      <c r="D599" s="1082" t="str">
        <f>HYPERLINK("https://cloud.mail.ru/public/eZ4x/GorVsxHCE","Ссылка")</f>
        <v>Ссылка</v>
      </c>
      <c r="E599" s="1083" t="str">
        <f>HYPERLINK("https://adv-map.ru/place/?LINK=8bc7f176b1b62f92fb2cbb5eb9aadcb0","Ссылка")</f>
        <v>Ссылка</v>
      </c>
      <c r="F599" s="9" t="s">
        <v>802</v>
      </c>
      <c r="G599" s="10" t="s">
        <v>16</v>
      </c>
      <c r="H599" s="11">
        <v>33000</v>
      </c>
      <c r="I599" s="13" t="s">
        <v>26</v>
      </c>
    </row>
    <row r="600" spans="1:9" s="8" customFormat="1" ht="18" customHeight="1" outlineLevel="1" x14ac:dyDescent="0.2">
      <c r="A600" s="9" t="s">
        <v>800</v>
      </c>
      <c r="B600" s="9" t="s">
        <v>17</v>
      </c>
      <c r="C600" s="9" t="s">
        <v>801</v>
      </c>
      <c r="D600" s="1084" t="str">
        <f>HYPERLINK("https://cloud.mail.ru/public/8848/6tbt82oo1","Ссылка")</f>
        <v>Ссылка</v>
      </c>
      <c r="E600" s="1085" t="str">
        <f>HYPERLINK("https://adv-map.ru/place/?LINK=a22711c2f4eaf9c74633bf11c9697741","Ссылка")</f>
        <v>Ссылка</v>
      </c>
      <c r="F600" s="9" t="s">
        <v>802</v>
      </c>
      <c r="G600" s="10" t="s">
        <v>16</v>
      </c>
      <c r="H600" s="11">
        <v>29000</v>
      </c>
      <c r="I600" s="12"/>
    </row>
    <row r="601" spans="1:9" s="8" customFormat="1" ht="18" customHeight="1" outlineLevel="1" x14ac:dyDescent="0.2">
      <c r="A601" s="9" t="s">
        <v>803</v>
      </c>
      <c r="B601" s="9" t="s">
        <v>13</v>
      </c>
      <c r="C601" s="9" t="s">
        <v>804</v>
      </c>
      <c r="D601" s="1086" t="str">
        <f>HYPERLINK("https://cloud.mail.ru/public/buZs/9DqE8Jz1R","Ссылка")</f>
        <v>Ссылка</v>
      </c>
      <c r="E601" s="1087" t="str">
        <f>HYPERLINK("https://adv-map.ru/place/?LINK=b57eae4e45298a649672d7305876adda","Ссылка")</f>
        <v>Ссылка</v>
      </c>
      <c r="F601" s="9" t="s">
        <v>805</v>
      </c>
      <c r="G601" s="10" t="s">
        <v>16</v>
      </c>
      <c r="H601" s="11">
        <v>29000</v>
      </c>
      <c r="I601" s="13" t="s">
        <v>404</v>
      </c>
    </row>
    <row r="602" spans="1:9" s="8" customFormat="1" ht="18" customHeight="1" outlineLevel="1" x14ac:dyDescent="0.2">
      <c r="A602" s="9" t="s">
        <v>803</v>
      </c>
      <c r="B602" s="9" t="s">
        <v>17</v>
      </c>
      <c r="C602" s="9" t="s">
        <v>804</v>
      </c>
      <c r="D602" s="1088" t="str">
        <f>HYPERLINK("https://cloud.mail.ru/public/dU4o/ZjFvrdsJg","Ссылка")</f>
        <v>Ссылка</v>
      </c>
      <c r="E602" s="1089" t="str">
        <f>HYPERLINK("https://adv-map.ru/place/?LINK=e1fe4e6e799fb337fc0def5919391473","Ссылка")</f>
        <v>Ссылка</v>
      </c>
      <c r="F602" s="9" t="s">
        <v>805</v>
      </c>
      <c r="G602" s="10" t="s">
        <v>16</v>
      </c>
      <c r="H602" s="11">
        <v>25000</v>
      </c>
      <c r="I602" s="12"/>
    </row>
    <row r="603" spans="1:9" s="8" customFormat="1" ht="18" customHeight="1" outlineLevel="1" x14ac:dyDescent="0.2">
      <c r="A603" s="9" t="s">
        <v>806</v>
      </c>
      <c r="B603" s="9" t="s">
        <v>13</v>
      </c>
      <c r="C603" s="9" t="s">
        <v>807</v>
      </c>
      <c r="D603" s="1090" t="str">
        <f>HYPERLINK("https://cloud.mail.ru/public/84fB/SysacvtuU","Ссылка")</f>
        <v>Ссылка</v>
      </c>
      <c r="E603" s="1091" t="str">
        <f>HYPERLINK("https://adv-map.ru/place/?LINK=5d94c284ffa08e29b0fafb88821fe59f","Ссылка")</f>
        <v>Ссылка</v>
      </c>
      <c r="F603" s="9" t="s">
        <v>452</v>
      </c>
      <c r="G603" s="10" t="s">
        <v>16</v>
      </c>
      <c r="H603" s="11">
        <v>35000</v>
      </c>
      <c r="I603" s="13" t="s">
        <v>26</v>
      </c>
    </row>
    <row r="604" spans="1:9" s="8" customFormat="1" ht="18" customHeight="1" outlineLevel="1" x14ac:dyDescent="0.2">
      <c r="A604" s="9" t="s">
        <v>806</v>
      </c>
      <c r="B604" s="9" t="s">
        <v>17</v>
      </c>
      <c r="C604" s="9" t="s">
        <v>807</v>
      </c>
      <c r="D604" s="1092" t="str">
        <f>HYPERLINK("https://cloud.mail.ru/public/h96N/9jVbM4UAS","Ссылка")</f>
        <v>Ссылка</v>
      </c>
      <c r="E604" s="1093" t="str">
        <f>HYPERLINK("https://adv-map.ru/place/?LINK=6d585ac398f51f4912eff6b15f5fe8b0","Ссылка")</f>
        <v>Ссылка</v>
      </c>
      <c r="F604" s="9" t="s">
        <v>452</v>
      </c>
      <c r="G604" s="10" t="s">
        <v>16</v>
      </c>
      <c r="H604" s="11">
        <v>25000</v>
      </c>
      <c r="I604" s="12"/>
    </row>
    <row r="605" spans="1:9" s="8" customFormat="1" ht="18" customHeight="1" outlineLevel="1" x14ac:dyDescent="0.2">
      <c r="A605" s="9" t="s">
        <v>808</v>
      </c>
      <c r="B605" s="9" t="s">
        <v>13</v>
      </c>
      <c r="C605" s="9" t="s">
        <v>809</v>
      </c>
      <c r="D605" s="1094" t="str">
        <f>HYPERLINK("https://cloud.mail.ru/public/mfK7/swcZK67PK","Ссылка")</f>
        <v>Ссылка</v>
      </c>
      <c r="E605" s="1095" t="str">
        <f>HYPERLINK("https://adv-map.ru/place/?LINK=99050b2f63364b3dbfab3ee445fd7466","Ссылка")</f>
        <v>Ссылка</v>
      </c>
      <c r="F605" s="9" t="s">
        <v>810</v>
      </c>
      <c r="G605" s="10" t="s">
        <v>16</v>
      </c>
      <c r="H605" s="11">
        <v>29000</v>
      </c>
      <c r="I605" s="12"/>
    </row>
    <row r="606" spans="1:9" s="8" customFormat="1" ht="18" customHeight="1" outlineLevel="1" x14ac:dyDescent="0.2">
      <c r="A606" s="9" t="s">
        <v>808</v>
      </c>
      <c r="B606" s="9" t="s">
        <v>17</v>
      </c>
      <c r="C606" s="9" t="s">
        <v>809</v>
      </c>
      <c r="D606" s="1096" t="str">
        <f>HYPERLINK("https://cloud.mail.ru/public/57iA/dFsr5h3xj","Ссылка")</f>
        <v>Ссылка</v>
      </c>
      <c r="E606" s="1097" t="str">
        <f>HYPERLINK("https://adv-map.ru/place/?LINK=35b5bca3e4cf3628b84381f69267a21d","Ссылка")</f>
        <v>Ссылка</v>
      </c>
      <c r="F606" s="9" t="s">
        <v>810</v>
      </c>
      <c r="G606" s="10" t="s">
        <v>16</v>
      </c>
      <c r="H606" s="11">
        <v>25000</v>
      </c>
      <c r="I606" s="12"/>
    </row>
    <row r="607" spans="1:9" s="8" customFormat="1" ht="18" customHeight="1" outlineLevel="1" x14ac:dyDescent="0.2">
      <c r="A607" s="9" t="s">
        <v>811</v>
      </c>
      <c r="B607" s="9" t="s">
        <v>13</v>
      </c>
      <c r="C607" s="9" t="s">
        <v>812</v>
      </c>
      <c r="D607" s="1098" t="str">
        <f>HYPERLINK("https://cloud.mail.ru/public/PBCA/RGEgtxWpE","Ссылка")</f>
        <v>Ссылка</v>
      </c>
      <c r="E607" s="1099" t="str">
        <f>HYPERLINK("https://adv-map.ru/place/?LINK=76d8f80a9e220cae0aae8f055ad2b791","Ссылка")</f>
        <v>Ссылка</v>
      </c>
      <c r="F607" s="9" t="s">
        <v>304</v>
      </c>
      <c r="G607" s="10" t="s">
        <v>16</v>
      </c>
      <c r="H607" s="11">
        <v>27000</v>
      </c>
      <c r="I607" s="12"/>
    </row>
    <row r="608" spans="1:9" s="8" customFormat="1" ht="18" customHeight="1" outlineLevel="1" x14ac:dyDescent="0.2">
      <c r="A608" s="9" t="s">
        <v>811</v>
      </c>
      <c r="B608" s="9" t="s">
        <v>22</v>
      </c>
      <c r="C608" s="9" t="s">
        <v>812</v>
      </c>
      <c r="D608" s="1100" t="str">
        <f>HYPERLINK("https://cloud.mail.ru/public/y5JT/nNoBcDJRH","Ссылка")</f>
        <v>Ссылка</v>
      </c>
      <c r="E608" s="1101" t="str">
        <f>HYPERLINK("https://adv-map.ru/place/?LINK=f6d0ba06dc69d4ee99e3f4c528f2f5f1","Ссылка")</f>
        <v>Ссылка</v>
      </c>
      <c r="F608" s="9" t="s">
        <v>304</v>
      </c>
      <c r="G608" s="10" t="s">
        <v>51</v>
      </c>
      <c r="H608" s="11">
        <v>31000</v>
      </c>
      <c r="I608" s="12"/>
    </row>
    <row r="609" spans="1:9" s="8" customFormat="1" ht="18" customHeight="1" outlineLevel="1" x14ac:dyDescent="0.2">
      <c r="A609" s="9" t="s">
        <v>811</v>
      </c>
      <c r="B609" s="9" t="s">
        <v>27</v>
      </c>
      <c r="C609" s="9" t="s">
        <v>812</v>
      </c>
      <c r="D609" s="1100" t="str">
        <f>HYPERLINK("https://cloud.mail.ru/public/y5JT/nNoBcDJRH","Ссылка")</f>
        <v>Ссылка</v>
      </c>
      <c r="E609" s="1102" t="str">
        <f>HYPERLINK("https://adv-map.ru/place/?LINK=e77b30d903e738cd08579bea3b989c5e","Ссылка")</f>
        <v>Ссылка</v>
      </c>
      <c r="F609" s="9" t="s">
        <v>304</v>
      </c>
      <c r="G609" s="10" t="s">
        <v>51</v>
      </c>
      <c r="H609" s="11">
        <v>31000</v>
      </c>
      <c r="I609" s="13" t="s">
        <v>26</v>
      </c>
    </row>
    <row r="610" spans="1:9" s="8" customFormat="1" ht="18" customHeight="1" outlineLevel="1" x14ac:dyDescent="0.2">
      <c r="A610" s="9" t="s">
        <v>811</v>
      </c>
      <c r="B610" s="9" t="s">
        <v>28</v>
      </c>
      <c r="C610" s="9" t="s">
        <v>812</v>
      </c>
      <c r="D610" s="1100" t="str">
        <f>HYPERLINK("https://cloud.mail.ru/public/y5JT/nNoBcDJRH","Ссылка")</f>
        <v>Ссылка</v>
      </c>
      <c r="E610" s="1103" t="str">
        <f>HYPERLINK("https://adv-map.ru/place/?LINK=b8c1adbc57aab01f7cf9458154af6b92","Ссылка")</f>
        <v>Ссылка</v>
      </c>
      <c r="F610" s="9" t="s">
        <v>304</v>
      </c>
      <c r="G610" s="10" t="s">
        <v>51</v>
      </c>
      <c r="H610" s="11">
        <v>31000</v>
      </c>
      <c r="I610" s="12"/>
    </row>
    <row r="611" spans="1:9" s="8" customFormat="1" ht="18" customHeight="1" outlineLevel="1" x14ac:dyDescent="0.2">
      <c r="A611" s="9" t="s">
        <v>813</v>
      </c>
      <c r="B611" s="9" t="s">
        <v>13</v>
      </c>
      <c r="C611" s="9" t="s">
        <v>814</v>
      </c>
      <c r="D611" s="1104" t="str">
        <f>HYPERLINK("https://cloud.mail.ru/public/mpru/ncTGWUDgJ","Ссылка")</f>
        <v>Ссылка</v>
      </c>
      <c r="E611" s="1105" t="str">
        <f>HYPERLINK("https://adv-map.ru/place/?LINK=55099959d79b814c447a99b604e02e7d","Ссылка")</f>
        <v>Ссылка</v>
      </c>
      <c r="F611" s="9" t="s">
        <v>304</v>
      </c>
      <c r="G611" s="10" t="s">
        <v>16</v>
      </c>
      <c r="H611" s="11">
        <v>29000</v>
      </c>
      <c r="I611" s="13" t="s">
        <v>26</v>
      </c>
    </row>
    <row r="612" spans="1:9" s="8" customFormat="1" ht="18" customHeight="1" outlineLevel="1" x14ac:dyDescent="0.2">
      <c r="A612" s="9" t="s">
        <v>813</v>
      </c>
      <c r="B612" s="9" t="s">
        <v>17</v>
      </c>
      <c r="C612" s="9" t="s">
        <v>814</v>
      </c>
      <c r="D612" s="1106" t="str">
        <f>HYPERLINK("https://cloud.mail.ru/public/4Md1/tvAzkdBMG","Ссылка")</f>
        <v>Ссылка</v>
      </c>
      <c r="E612" s="1107" t="str">
        <f>HYPERLINK("https://adv-map.ru/place/?LINK=2fc0a2ae499a6f7a08ffaf2b493bcf8c","Ссылка")</f>
        <v>Ссылка</v>
      </c>
      <c r="F612" s="9" t="s">
        <v>304</v>
      </c>
      <c r="G612" s="10" t="s">
        <v>16</v>
      </c>
      <c r="H612" s="11">
        <v>29000</v>
      </c>
      <c r="I612" s="13" t="s">
        <v>26</v>
      </c>
    </row>
    <row r="613" spans="1:9" ht="18" customHeight="1" x14ac:dyDescent="0.2">
      <c r="H613" s="1111">
        <f>SUM(H6:H612)</f>
        <v>18335900</v>
      </c>
      <c r="I613" s="1110">
        <v>0.55000000000000004</v>
      </c>
    </row>
    <row r="614" spans="1:9" ht="18" customHeight="1" x14ac:dyDescent="0.2">
      <c r="H614" s="1110">
        <v>-0.15</v>
      </c>
    </row>
    <row r="615" spans="1:9" ht="18" customHeight="1" x14ac:dyDescent="0.2">
      <c r="H615" s="1111">
        <f>H613-H613*15%</f>
        <v>15585515</v>
      </c>
    </row>
    <row r="616" spans="1:9" ht="18" customHeight="1" x14ac:dyDescent="0.2">
      <c r="G616" s="1" t="s">
        <v>815</v>
      </c>
      <c r="H616" s="1111">
        <f>H615*12</f>
        <v>187026180</v>
      </c>
    </row>
    <row r="617" spans="1:9" ht="27" customHeight="1" x14ac:dyDescent="0.2">
      <c r="G617" s="1112" t="s">
        <v>816</v>
      </c>
      <c r="H617" s="1111">
        <v>4381000</v>
      </c>
    </row>
    <row r="618" spans="1:9" ht="18" customHeight="1" x14ac:dyDescent="0.2">
      <c r="G618" s="1" t="s">
        <v>817</v>
      </c>
      <c r="H618" s="1111">
        <f>H616-H617</f>
        <v>182645180</v>
      </c>
    </row>
    <row r="619" spans="1:9" ht="18" customHeight="1" x14ac:dyDescent="0.2">
      <c r="G619" s="1" t="s">
        <v>818</v>
      </c>
      <c r="H619" s="1111"/>
    </row>
  </sheetData>
  <autoFilter ref="A3:I612" xr:uid="{00000000-0001-0000-0000-000000000000}"/>
  <mergeCells count="8">
    <mergeCell ref="F3:F4"/>
    <mergeCell ref="G3:G4"/>
    <mergeCell ref="H3:H4"/>
    <mergeCell ref="A3:A4"/>
    <mergeCell ref="B3:B4"/>
    <mergeCell ref="C3:C4"/>
    <mergeCell ref="D3:D4"/>
    <mergeCell ref="E3:E4"/>
  </mergeCells>
  <pageMargins left="0.39370078740157483" right="0.39370078740157483" top="0.39370078740157483" bottom="0.39370078740157483" header="0" footer="0"/>
  <pageSetup paperSize="9" fitToHeight="0" pageOrder="overThenDown" orientation="portrait"/>
  <headerFooter>
    <oddHeader>&amp;R&amp;"Tahoma,normal"&amp;8Дата: &amp;D,  время: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Батуева Надежда Н.</dc:creator>
  <cp:lastModifiedBy>Батуева Надежда Н.</cp:lastModifiedBy>
  <dcterms:created xsi:type="dcterms:W3CDTF">2026-01-27T01:04:38Z</dcterms:created>
  <dcterms:modified xsi:type="dcterms:W3CDTF">2026-01-27T01:04:38Z</dcterms:modified>
</cp:coreProperties>
</file>